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_goods_2025_raw" sheetId="1" r:id="rId4"/>
  </sheets>
  <definedNames>
    <definedName hidden="1" localSheetId="0" name="_xlnm._FilterDatabase">household_goods_2025_raw!$A$1:$AN$947</definedName>
  </definedNames>
  <calcPr/>
</workbook>
</file>

<file path=xl/sharedStrings.xml><?xml version="1.0" encoding="utf-8"?>
<sst xmlns="http://schemas.openxmlformats.org/spreadsheetml/2006/main" count="4079" uniqueCount="325">
  <si>
    <t>Año</t>
  </si>
  <si>
    <t>Mes</t>
  </si>
  <si>
    <t>Quincena</t>
  </si>
  <si>
    <t>Inflacion</t>
  </si>
  <si>
    <t>Variación %</t>
  </si>
  <si>
    <t>Lugar</t>
  </si>
  <si>
    <t>Tipo de producto</t>
  </si>
  <si>
    <t>Producto</t>
  </si>
  <si>
    <t>Marca</t>
  </si>
  <si>
    <t>Peso (gr/ml)</t>
  </si>
  <si>
    <t>Cantidad</t>
  </si>
  <si>
    <t>Precio</t>
  </si>
  <si>
    <t>Total</t>
  </si>
  <si>
    <t>feb</t>
  </si>
  <si>
    <t>H1</t>
  </si>
  <si>
    <t>D1</t>
  </si>
  <si>
    <t>Lacteo</t>
  </si>
  <si>
    <t>Helado kulfi</t>
  </si>
  <si>
    <t>Kulfi</t>
  </si>
  <si>
    <t>Feb</t>
  </si>
  <si>
    <t>Leche deslactosada</t>
  </si>
  <si>
    <t>Latti</t>
  </si>
  <si>
    <t>Milo activ-go</t>
  </si>
  <si>
    <t>Milo</t>
  </si>
  <si>
    <t>Salsa mayonesa con mostaza</t>
  </si>
  <si>
    <t>Zev</t>
  </si>
  <si>
    <t>Mercamio</t>
  </si>
  <si>
    <t>Aceite</t>
  </si>
  <si>
    <t>Aceite soya</t>
  </si>
  <si>
    <t>Fruta</t>
  </si>
  <si>
    <t>Aguacate comun</t>
  </si>
  <si>
    <t>Verdura</t>
  </si>
  <si>
    <t>Ajo granel</t>
  </si>
  <si>
    <t>Proteina</t>
  </si>
  <si>
    <t>Atun Lomo Ac/girasol</t>
  </si>
  <si>
    <t>Seletti</t>
  </si>
  <si>
    <t>Azucar</t>
  </si>
  <si>
    <t>Manuelita</t>
  </si>
  <si>
    <t>Cafe</t>
  </si>
  <si>
    <t>Cafe molido tradicional</t>
  </si>
  <si>
    <t>Bemoka</t>
  </si>
  <si>
    <t>Carne cerdo espinazo</t>
  </si>
  <si>
    <t>Carne cerdo pernil</t>
  </si>
  <si>
    <t>Carne res ampolleta/bota normal</t>
  </si>
  <si>
    <t>Carne res bola negra especial</t>
  </si>
  <si>
    <t>Carne res higado nacional</t>
  </si>
  <si>
    <t>Cebolla cabezona blanca sin pelar</t>
  </si>
  <si>
    <t>Coliflor</t>
  </si>
  <si>
    <t>Legumbre</t>
  </si>
  <si>
    <t>Frijol blanquillo</t>
  </si>
  <si>
    <t>Frijol calima</t>
  </si>
  <si>
    <t>Lenteja</t>
  </si>
  <si>
    <t>Limon mandarino</t>
  </si>
  <si>
    <t>Pepino cohombro</t>
  </si>
  <si>
    <t>Pimenton</t>
  </si>
  <si>
    <t>Platano comun</t>
  </si>
  <si>
    <t>Pollo campo marinado</t>
  </si>
  <si>
    <t>Repollo morado</t>
  </si>
  <si>
    <t>Tomate chonto</t>
  </si>
  <si>
    <t>Zanahoria</t>
  </si>
  <si>
    <t>Zapallo/ahuyama comun</t>
  </si>
  <si>
    <t>mar</t>
  </si>
  <si>
    <t>BOLSA BLANCA</t>
  </si>
  <si>
    <t>CABELLO DE AN</t>
  </si>
  <si>
    <t>CHORIZO CAMPE</t>
  </si>
  <si>
    <t>CHORIZO CON T</t>
  </si>
  <si>
    <t>CONCHA CAPRIS</t>
  </si>
  <si>
    <t>DESENGRASANTE</t>
  </si>
  <si>
    <t>DETERGENTE PO</t>
  </si>
  <si>
    <t>FIOCCOSO CERE</t>
  </si>
  <si>
    <t>GALLETA SEMID</t>
  </si>
  <si>
    <t>JABON NATURAL</t>
  </si>
  <si>
    <t>JAMON DE CERDO</t>
  </si>
  <si>
    <t>LIQUIDO LAVAL</t>
  </si>
  <si>
    <t>SALSA CON SAB</t>
  </si>
  <si>
    <t>SALSA DE TOMATE</t>
  </si>
  <si>
    <t>TOALLA DE COC</t>
  </si>
  <si>
    <t>TOCINETA MEGA</t>
  </si>
  <si>
    <t>YOGURT FRUTA</t>
  </si>
  <si>
    <t>Aceite Vegetal</t>
  </si>
  <si>
    <t>San Miguel</t>
  </si>
  <si>
    <t>Banano Común Criollo</t>
  </si>
  <si>
    <t>Brocoli</t>
  </si>
  <si>
    <t>Carne cerdo costilla</t>
  </si>
  <si>
    <t>Carne cerdo lomo</t>
  </si>
  <si>
    <t>Carne res caderita especial</t>
  </si>
  <si>
    <t>Celema</t>
  </si>
  <si>
    <t>Lechuga Batavia</t>
  </si>
  <si>
    <t>Limon tahiti</t>
  </si>
  <si>
    <t>Harina</t>
  </si>
  <si>
    <t>Pan Integral</t>
  </si>
  <si>
    <t xml:space="preserve">Bimbo </t>
  </si>
  <si>
    <t>Papa Amarilla Criolla</t>
  </si>
  <si>
    <t>Papa Sin Lavar</t>
  </si>
  <si>
    <t xml:space="preserve">Pechuga Campo </t>
  </si>
  <si>
    <t>Sal</t>
  </si>
  <si>
    <t xml:space="preserve">Sal </t>
  </si>
  <si>
    <t>Refisal</t>
  </si>
  <si>
    <t>Trirey</t>
  </si>
  <si>
    <t>jun</t>
  </si>
  <si>
    <t>Azucar blanca</t>
  </si>
  <si>
    <t>Carne res punta falda</t>
  </si>
  <si>
    <t>Remolacha</t>
  </si>
  <si>
    <t>Berenjena</t>
  </si>
  <si>
    <t>Leche semidescremada 6 und</t>
  </si>
  <si>
    <t>Alpina</t>
  </si>
  <si>
    <t>Pan integral</t>
  </si>
  <si>
    <t>Bimbo</t>
  </si>
  <si>
    <t>Condimento</t>
  </si>
  <si>
    <t>H2</t>
  </si>
  <si>
    <t>Platano maduro</t>
  </si>
  <si>
    <t>Cebolla larga sucia</t>
  </si>
  <si>
    <t>Espinaca</t>
  </si>
  <si>
    <t>Hierbas</t>
  </si>
  <si>
    <t>Hierbas atado</t>
  </si>
  <si>
    <t>Harina trigo</t>
  </si>
  <si>
    <t>Farallones</t>
  </si>
  <si>
    <t>Mantequilla sin sal</t>
  </si>
  <si>
    <t>Colanta</t>
  </si>
  <si>
    <t>Leche deslactosada 6 unds</t>
  </si>
  <si>
    <t>Alqueria</t>
  </si>
  <si>
    <t>Garbanzo</t>
  </si>
  <si>
    <t>Salsa</t>
  </si>
  <si>
    <t>Salchichon Cerdo</t>
  </si>
  <si>
    <t>Higiene</t>
  </si>
  <si>
    <t>Tampones Digi</t>
  </si>
  <si>
    <t>Chorizo santarrosano</t>
  </si>
  <si>
    <t>Aseo</t>
  </si>
  <si>
    <t>Limpiador lava</t>
  </si>
  <si>
    <t>DETERGENTE LI</t>
  </si>
  <si>
    <t>leche deslactosada</t>
  </si>
  <si>
    <t>carne res bola negra especial</t>
  </si>
  <si>
    <t>uyuco bolsa</t>
  </si>
  <si>
    <t>Arveja verde</t>
  </si>
  <si>
    <t>papel higienico elite x18</t>
  </si>
  <si>
    <t>SPAGHETTI CAP</t>
  </si>
  <si>
    <t>GALLETA NEGRI</t>
  </si>
  <si>
    <t>ago</t>
  </si>
  <si>
    <t>ARROZ ACHOCOL</t>
  </si>
  <si>
    <t>COCOA CASA RE</t>
  </si>
  <si>
    <t>PIMIENTA MOLIDA</t>
  </si>
  <si>
    <t>jul</t>
  </si>
  <si>
    <t>BLANQUEADOR B</t>
  </si>
  <si>
    <t>GALLETA CUCA</t>
  </si>
  <si>
    <t>may</t>
  </si>
  <si>
    <t>MOGOLLA INTEGRAL</t>
  </si>
  <si>
    <t>SALSA DE SOYA</t>
  </si>
  <si>
    <t>CHORIZO ANTIO</t>
  </si>
  <si>
    <t>LECHE CONDEN</t>
  </si>
  <si>
    <t>CREMA DE LECHE</t>
  </si>
  <si>
    <t>LECHE DESLACT</t>
  </si>
  <si>
    <t>CREMA DENTAL</t>
  </si>
  <si>
    <t>TAMPONES DIGI</t>
  </si>
  <si>
    <t>PAPEL HIGIENI</t>
  </si>
  <si>
    <t>AROS FRUTALES</t>
  </si>
  <si>
    <t>Cereal</t>
  </si>
  <si>
    <t>Embutido</t>
  </si>
  <si>
    <t>SALCHICHA PAR</t>
  </si>
  <si>
    <t>CHORIZO SANTA</t>
  </si>
  <si>
    <t>Pasabocas</t>
  </si>
  <si>
    <t>SALCHICHON TR</t>
  </si>
  <si>
    <t>SERVILLETA CO</t>
  </si>
  <si>
    <t>ACEITE VEGETAL</t>
  </si>
  <si>
    <t>abr</t>
  </si>
  <si>
    <t>CEPILLO DE DI</t>
  </si>
  <si>
    <t xml:space="preserve">GALLETA SEMID </t>
  </si>
  <si>
    <t>MAIZ PIRA EL</t>
  </si>
  <si>
    <t>PAPEL HIGIENICO</t>
  </si>
  <si>
    <t>TGALLA DELGAD</t>
  </si>
  <si>
    <t>oct</t>
  </si>
  <si>
    <t>SALSA ROSADA</t>
  </si>
  <si>
    <t>SALCHICHON CE</t>
  </si>
  <si>
    <t>AROMATICA 20</t>
  </si>
  <si>
    <t>sep</t>
  </si>
  <si>
    <t>leche deslactosada (1000ml*6und)</t>
  </si>
  <si>
    <t>ALQUERIA</t>
  </si>
  <si>
    <t>LIMON MANDARINO</t>
  </si>
  <si>
    <t>HABICHUELA</t>
  </si>
  <si>
    <t>BERENJENA</t>
  </si>
  <si>
    <t>ESPINACA</t>
  </si>
  <si>
    <t xml:space="preserve">HARINA TRIGO </t>
  </si>
  <si>
    <t>FARALLONES</t>
  </si>
  <si>
    <t>MAIZ PIRA</t>
  </si>
  <si>
    <t xml:space="preserve">SELETTI </t>
  </si>
  <si>
    <t>spaghetti_cap</t>
  </si>
  <si>
    <t>salsa_con_sab</t>
  </si>
  <si>
    <t>tocineta_mega</t>
  </si>
  <si>
    <t>salchichon_ce</t>
  </si>
  <si>
    <t>toalla_femeni</t>
  </si>
  <si>
    <t>jamon_de_cerdo</t>
  </si>
  <si>
    <t>chorizo_campe</t>
  </si>
  <si>
    <t>galleta_negri</t>
  </si>
  <si>
    <t>liquido_laval</t>
  </si>
  <si>
    <t>queso_mozzare</t>
  </si>
  <si>
    <t>yogurt_fruta</t>
  </si>
  <si>
    <t>bolsa_blanca</t>
  </si>
  <si>
    <t>salsa_de_toma</t>
  </si>
  <si>
    <t>fioccoso_cere</t>
  </si>
  <si>
    <t>concha_capris</t>
  </si>
  <si>
    <t>cabello_de_an</t>
  </si>
  <si>
    <t>jabon_natural</t>
  </si>
  <si>
    <t>pimienta_moli</t>
  </si>
  <si>
    <t>limpiador_lav</t>
  </si>
  <si>
    <t>desengrasante</t>
  </si>
  <si>
    <t>detergente_li</t>
  </si>
  <si>
    <t>blanqueador_b</t>
  </si>
  <si>
    <t>jabon_liquido</t>
  </si>
  <si>
    <t>nov</t>
  </si>
  <si>
    <t>detergente_po</t>
  </si>
  <si>
    <t>limpiador_man</t>
  </si>
  <si>
    <t>dic</t>
  </si>
  <si>
    <t>salsa_bbq_mas</t>
  </si>
  <si>
    <t>miel_de_abeja</t>
  </si>
  <si>
    <t>espiral_abras</t>
  </si>
  <si>
    <t>crema_dental</t>
  </si>
  <si>
    <t>alcohol_antis</t>
  </si>
  <si>
    <t>platano_comun_kilo</t>
  </si>
  <si>
    <t>cebolla_cabezona_kilo_blanca_sin_pelar</t>
  </si>
  <si>
    <t>banano_comun_criollo_kilo</t>
  </si>
  <si>
    <t>lechuga_batavia_kilo</t>
  </si>
  <si>
    <t>ajo_kilo_granel</t>
  </si>
  <si>
    <t>aguacate_comun_kilo</t>
  </si>
  <si>
    <t>coliflor_kilo</t>
  </si>
  <si>
    <t>brocoli_kilo</t>
  </si>
  <si>
    <t>xxxx</t>
  </si>
  <si>
    <t>remolacha_kilo</t>
  </si>
  <si>
    <t>tomate_chonto_kilo</t>
  </si>
  <si>
    <t>pepino_cohombro_kilo</t>
  </si>
  <si>
    <t>zanahoria_kilo</t>
  </si>
  <si>
    <t>limon_tahiti_kilo</t>
  </si>
  <si>
    <t>pimenton_kilo</t>
  </si>
  <si>
    <t>aceite_soya_mercamio_900ml</t>
  </si>
  <si>
    <t>harina_trigo_farallones_500g</t>
  </si>
  <si>
    <t>atun_seletti_160g_lomo_ac_girasol</t>
  </si>
  <si>
    <t>cafe_bemoka_400g_molido_tradicional</t>
  </si>
  <si>
    <t>frijol_seletti_blanquillo_500g</t>
  </si>
  <si>
    <t>frijol_seletti_calima_500g</t>
  </si>
  <si>
    <t>arveja_seletti_xxxx</t>
  </si>
  <si>
    <t>bebida_milo_xxxx</t>
  </si>
  <si>
    <t>pechuga_campo_mercamio_kilo</t>
  </si>
  <si>
    <t>pollo_campo_mercamio_kilo_marinado</t>
  </si>
  <si>
    <t>cerdo_xxxx_kilo</t>
  </si>
  <si>
    <t>res_xxxx_kilo</t>
  </si>
  <si>
    <t>cerdo_pernil_kilo</t>
  </si>
  <si>
    <t>cerdo_costilla_normal_kilo</t>
  </si>
  <si>
    <t>res_bola_negra_especial_kilo</t>
  </si>
  <si>
    <t>res_punta_falda_kilo</t>
  </si>
  <si>
    <t/>
  </si>
  <si>
    <t>leche_alpina_1100ml_6und_deslactosada</t>
  </si>
  <si>
    <t>papa_amarilla_criolla_kilo_granel</t>
  </si>
  <si>
    <t>lenteja_seletti_500g</t>
  </si>
  <si>
    <t>garbanzo_seletti_500g</t>
  </si>
  <si>
    <t>bebida_milo_440g_actigen_e</t>
  </si>
  <si>
    <t>papa_sin_lavar_kilo_granel</t>
  </si>
  <si>
    <t>repollo_morado_kilo</t>
  </si>
  <si>
    <t>papa_criolla_kilo</t>
  </si>
  <si>
    <t>cebolla_larga_sucia_kilo</t>
  </si>
  <si>
    <t>pan_bimbo_integral_650g</t>
  </si>
  <si>
    <t>c_cerdo_lomo_kilo</t>
  </si>
  <si>
    <t>c_cerdo_espinazo_kilo</t>
  </si>
  <si>
    <t>c_cerdo_pernil_kilo</t>
  </si>
  <si>
    <t>c_res_punta_falda_kilo</t>
  </si>
  <si>
    <t>pechuga_mercamio_mr_kilo</t>
  </si>
  <si>
    <t>leche_alpina_1000ml_5und_semidescrem</t>
  </si>
  <si>
    <t>cebolla_cabezona_kilo_blanca_sin_pel</t>
  </si>
  <si>
    <t>atun_isabel_142g_2und_lomo_girasol</t>
  </si>
  <si>
    <t>trirey_55g</t>
  </si>
  <si>
    <t>lechuga_cres_und_organica_bolsa</t>
  </si>
  <si>
    <t>arveja_seletti_500g_verde</t>
  </si>
  <si>
    <t>pan_guadalupe_570g_integral</t>
  </si>
  <si>
    <t>aceite_vegetal_san_miguel_500ml</t>
  </si>
  <si>
    <t>c_cerdo_costilla_normal_kilo</t>
  </si>
  <si>
    <t>pechuga_campo_mercamio_mr_kilo</t>
  </si>
  <si>
    <t>mango_grueso_kilo</t>
  </si>
  <si>
    <t>mango_comun_kilo</t>
  </si>
  <si>
    <t>papaya_comun_kilo</t>
  </si>
  <si>
    <t>pina_oro_miel_golden_kilo</t>
  </si>
  <si>
    <t>espinaca_kilo</t>
  </si>
  <si>
    <t>guante_fanz_superior_talla_s</t>
  </si>
  <si>
    <t>leche_alpina_1000ml_6und_semidescrem</t>
  </si>
  <si>
    <t>c_res_bola_negra_especial_kilo</t>
  </si>
  <si>
    <t>pernil_campo_mercamio_mr_kilo</t>
  </si>
  <si>
    <t>leche_alpina_1100ml_6und_deslac_p5ll</t>
  </si>
  <si>
    <t>guayaba_malla_und</t>
  </si>
  <si>
    <t>limon_comun_kilo</t>
  </si>
  <si>
    <t>platano_maduro_kilo</t>
  </si>
  <si>
    <t>azucar_manuelita_1000g</t>
  </si>
  <si>
    <t>atun_isabel_142g_2und_lomo_en_agua</t>
  </si>
  <si>
    <t>papel_h_elite_18und_441m_max_resist</t>
  </si>
  <si>
    <t>limon_mandarino_kilo</t>
  </si>
  <si>
    <t>berenjena_kilo</t>
  </si>
  <si>
    <t>pan_bimbo_650g_integral</t>
  </si>
  <si>
    <t>leche_alqueria_1000ml_6und_deslactosada</t>
  </si>
  <si>
    <t>azucar_manuelita_2500g_blanca</t>
  </si>
  <si>
    <t>guante_fanz_domestico_talla_m</t>
  </si>
  <si>
    <t>leche_alpina_1000ml_6und_semidescremada</t>
  </si>
  <si>
    <t>sal_refisal_1000g</t>
  </si>
  <si>
    <t>c_res_higado_nacional_kilo</t>
  </si>
  <si>
    <t>paprika_seletti_28g</t>
  </si>
  <si>
    <t>curcuma_seletti_28g_bolsa</t>
  </si>
  <si>
    <t>cafe_aguila_roja_400g</t>
  </si>
  <si>
    <t>zapallo_calabacin_kilo</t>
  </si>
  <si>
    <t>atun_isabel_142g_aceite_girasol</t>
  </si>
  <si>
    <t>c_res_caderita_especial_kilo</t>
  </si>
  <si>
    <t>habichuela_kilo</t>
  </si>
  <si>
    <t>guante_fanz_domestico_talla_s</t>
  </si>
  <si>
    <t>aceite_soya_mercamio_1800ml</t>
  </si>
  <si>
    <t>c_res_ampolleta_bota_normal_kilo</t>
  </si>
  <si>
    <t>tomate_de_arbol_kilo</t>
  </si>
  <si>
    <t>guayaba_pera_kilo</t>
  </si>
  <si>
    <t>hoja_de_sabila_kilo</t>
  </si>
  <si>
    <t>queso_mercamio_kilo_cuajada</t>
  </si>
  <si>
    <t>queso_alpina_380g_cremosino</t>
  </si>
  <si>
    <t>ajo_seletti_125g_polvo</t>
  </si>
  <si>
    <t>atun_isabel_142g_aceite_girasol_facil</t>
  </si>
  <si>
    <t>vela_finas_15und</t>
  </si>
  <si>
    <t>huevo_mercamio_rosado_b_30und</t>
  </si>
  <si>
    <t>total</t>
  </si>
  <si>
    <t>leche_s_fernand_1000ml_6und_semidesc</t>
  </si>
  <si>
    <t>azucar_incauca_2500g_morena</t>
  </si>
  <si>
    <t>aceite_mercamio_soya_3000ml</t>
  </si>
  <si>
    <t>cebolla_cabezona_blanca_sin_pelar_kilo</t>
  </si>
  <si>
    <t>atun_van_camps_160g_lomo_aceite</t>
  </si>
  <si>
    <t>zapallo_ahuyama_comun_kilo</t>
  </si>
  <si>
    <t>huevo_mercamio_rosado_a_30und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</si>
</sst>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Font="1"/>
    <xf borderId="0" fillId="2" fontId="2" numFmtId="164" xfId="0" applyFont="1" applyNumberFormat="1"/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2" fontId="2" numFmtId="0" xfId="0" applyFont="1"/>
    <xf borderId="0" fillId="0" fontId="1" numFmtId="0" xfId="0" applyFont="1"/>
    <xf borderId="0" fillId="0" fontId="1" numFmtId="10" xfId="0" applyFont="1" applyNumberFormat="1"/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75"/>
    <col customWidth="1" min="3" max="3" width="11.13"/>
    <col customWidth="1" hidden="1" min="4" max="4" width="10.5"/>
    <col customWidth="1" hidden="1" min="5" max="5" width="12.13"/>
    <col customWidth="1" min="6" max="6" width="9.5"/>
    <col customWidth="1" min="7" max="7" width="17.13"/>
    <col customWidth="1" min="8" max="8" width="26.5"/>
    <col customWidth="1" min="9" max="9" width="9.38"/>
    <col customWidth="1" min="10" max="10" width="13.13"/>
    <col customWidth="1" hidden="1" min="11" max="11" width="12.88"/>
    <col customWidth="1" min="12" max="12" width="10.63"/>
    <col customWidth="1" min="13" max="13" width="4.75"/>
    <col customWidth="1" min="14" max="14" width="8.63"/>
    <col customWidth="1" hidden="1" min="15" max="15" width="12.88"/>
    <col customWidth="1" min="16" max="16" width="8.0"/>
    <col customWidth="1" min="18" max="18" width="12.0"/>
    <col customWidth="1" min="19" max="1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</v>
      </c>
      <c r="L1" s="1" t="s">
        <v>10</v>
      </c>
      <c r="M1" s="1" t="s">
        <v>4</v>
      </c>
      <c r="N1" s="1" t="s">
        <v>11</v>
      </c>
      <c r="O1" s="1" t="s">
        <v>4</v>
      </c>
      <c r="P1" s="2" t="s">
        <v>12</v>
      </c>
    </row>
    <row r="2">
      <c r="A2" s="3">
        <v>2025.0</v>
      </c>
      <c r="B2" s="3" t="s">
        <v>13</v>
      </c>
      <c r="C2" s="1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650.0</v>
      </c>
      <c r="K2" s="3"/>
      <c r="L2" s="3">
        <v>1.0</v>
      </c>
      <c r="M2" s="3"/>
      <c r="N2" s="3">
        <v>14500.0</v>
      </c>
      <c r="P2" s="4">
        <f t="shared" ref="P2:P5" si="1">N2*L2</f>
        <v>14500</v>
      </c>
    </row>
    <row r="3">
      <c r="A3" s="3">
        <v>2025.0</v>
      </c>
      <c r="B3" s="3" t="s">
        <v>19</v>
      </c>
      <c r="C3" s="1" t="s">
        <v>14</v>
      </c>
      <c r="D3" s="3"/>
      <c r="E3" s="3"/>
      <c r="F3" s="3" t="s">
        <v>15</v>
      </c>
      <c r="G3" s="3" t="s">
        <v>16</v>
      </c>
      <c r="H3" s="3" t="s">
        <v>20</v>
      </c>
      <c r="I3" s="3" t="s">
        <v>21</v>
      </c>
      <c r="J3" s="3">
        <v>900.0</v>
      </c>
      <c r="K3" s="3"/>
      <c r="L3" s="3">
        <v>5.0</v>
      </c>
      <c r="M3" s="3"/>
      <c r="N3" s="3">
        <v>3400.0</v>
      </c>
      <c r="O3" s="3"/>
      <c r="P3" s="4">
        <f t="shared" si="1"/>
        <v>17000</v>
      </c>
    </row>
    <row r="4">
      <c r="A4" s="3">
        <v>2025.0</v>
      </c>
      <c r="B4" s="3" t="s">
        <v>19</v>
      </c>
      <c r="C4" s="1" t="s">
        <v>14</v>
      </c>
      <c r="F4" s="3" t="s">
        <v>15</v>
      </c>
      <c r="G4" s="3"/>
      <c r="H4" s="3" t="s">
        <v>22</v>
      </c>
      <c r="I4" s="3" t="s">
        <v>23</v>
      </c>
      <c r="J4" s="3">
        <v>150.0</v>
      </c>
      <c r="K4" s="3"/>
      <c r="L4" s="3">
        <v>1.0</v>
      </c>
      <c r="M4" s="3"/>
      <c r="N4" s="3">
        <v>6490.0</v>
      </c>
      <c r="P4" s="4">
        <f t="shared" si="1"/>
        <v>6490</v>
      </c>
    </row>
    <row r="5">
      <c r="A5" s="3">
        <v>2025.0</v>
      </c>
      <c r="B5" s="3" t="s">
        <v>13</v>
      </c>
      <c r="C5" s="1" t="s">
        <v>14</v>
      </c>
      <c r="F5" s="3" t="s">
        <v>15</v>
      </c>
      <c r="G5" s="3"/>
      <c r="H5" s="3" t="s">
        <v>24</v>
      </c>
      <c r="I5" s="3" t="s">
        <v>25</v>
      </c>
      <c r="J5" s="3">
        <v>200.0</v>
      </c>
      <c r="K5" s="3"/>
      <c r="L5" s="3">
        <v>1.0</v>
      </c>
      <c r="M5" s="3"/>
      <c r="N5" s="3">
        <v>3490.0</v>
      </c>
      <c r="P5" s="4">
        <f t="shared" si="1"/>
        <v>3490</v>
      </c>
    </row>
    <row r="6">
      <c r="A6" s="5" t="s">
        <v>12</v>
      </c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7">
        <f>SUM(P2:P5)</f>
        <v>41480</v>
      </c>
    </row>
    <row r="7">
      <c r="A7" s="3">
        <v>2025.0</v>
      </c>
      <c r="B7" s="3" t="s">
        <v>13</v>
      </c>
      <c r="C7" s="1" t="s">
        <v>14</v>
      </c>
      <c r="F7" s="3" t="s">
        <v>26</v>
      </c>
      <c r="G7" s="3" t="s">
        <v>27</v>
      </c>
      <c r="H7" s="3" t="s">
        <v>28</v>
      </c>
      <c r="I7" s="3" t="s">
        <v>26</v>
      </c>
      <c r="J7" s="3">
        <v>900.0</v>
      </c>
      <c r="K7" s="3"/>
      <c r="L7" s="3">
        <v>1.0</v>
      </c>
      <c r="M7" s="3"/>
      <c r="N7" s="3">
        <v>7200.0</v>
      </c>
      <c r="P7" s="4">
        <f>N7*L7</f>
        <v>7200</v>
      </c>
    </row>
    <row r="8">
      <c r="A8" s="3">
        <v>2025.0</v>
      </c>
      <c r="B8" s="3" t="s">
        <v>13</v>
      </c>
      <c r="C8" s="1" t="s">
        <v>14</v>
      </c>
      <c r="F8" s="3" t="s">
        <v>26</v>
      </c>
      <c r="G8" s="3" t="s">
        <v>29</v>
      </c>
      <c r="H8" s="3" t="s">
        <v>30</v>
      </c>
      <c r="I8" s="3" t="s">
        <v>26</v>
      </c>
      <c r="J8" s="3">
        <v>1118.0</v>
      </c>
      <c r="K8" s="3"/>
      <c r="N8" s="3">
        <v>7980.0</v>
      </c>
      <c r="P8" s="4">
        <f t="shared" ref="P8:P9" si="2">N8*J8/1000</f>
        <v>8921.64</v>
      </c>
    </row>
    <row r="9">
      <c r="A9" s="3">
        <v>2025.0</v>
      </c>
      <c r="B9" s="3" t="s">
        <v>13</v>
      </c>
      <c r="C9" s="1" t="s">
        <v>14</v>
      </c>
      <c r="F9" s="3" t="s">
        <v>26</v>
      </c>
      <c r="G9" s="3" t="s">
        <v>31</v>
      </c>
      <c r="H9" s="3" t="s">
        <v>32</v>
      </c>
      <c r="I9" s="3" t="s">
        <v>26</v>
      </c>
      <c r="J9" s="3">
        <v>106.0</v>
      </c>
      <c r="K9" s="3"/>
      <c r="N9" s="3">
        <v>15000.0</v>
      </c>
      <c r="P9" s="4">
        <f t="shared" si="2"/>
        <v>1590</v>
      </c>
    </row>
    <row r="10">
      <c r="A10" s="3">
        <v>2025.0</v>
      </c>
      <c r="B10" s="3" t="s">
        <v>13</v>
      </c>
      <c r="C10" s="1" t="s">
        <v>14</v>
      </c>
      <c r="F10" s="3" t="s">
        <v>26</v>
      </c>
      <c r="G10" s="3" t="s">
        <v>33</v>
      </c>
      <c r="H10" s="3" t="s">
        <v>34</v>
      </c>
      <c r="I10" s="3" t="s">
        <v>35</v>
      </c>
      <c r="J10" s="3">
        <v>160.0</v>
      </c>
      <c r="K10" s="3"/>
      <c r="L10" s="3">
        <v>1.0</v>
      </c>
      <c r="M10" s="3"/>
      <c r="N10" s="3">
        <v>4990.0</v>
      </c>
      <c r="P10" s="4">
        <f t="shared" ref="P10:P12" si="3">N10*L10</f>
        <v>4990</v>
      </c>
    </row>
    <row r="11">
      <c r="A11" s="3">
        <v>2025.0</v>
      </c>
      <c r="B11" s="3" t="s">
        <v>13</v>
      </c>
      <c r="C11" s="1" t="s">
        <v>14</v>
      </c>
      <c r="F11" s="3" t="s">
        <v>26</v>
      </c>
      <c r="G11" s="3"/>
      <c r="H11" s="3" t="s">
        <v>36</v>
      </c>
      <c r="I11" s="3" t="s">
        <v>37</v>
      </c>
      <c r="J11" s="3">
        <v>2500.0</v>
      </c>
      <c r="K11" s="3"/>
      <c r="L11" s="3">
        <v>1.0</v>
      </c>
      <c r="M11" s="3"/>
      <c r="N11" s="3">
        <v>8900.0</v>
      </c>
      <c r="P11" s="4">
        <f t="shared" si="3"/>
        <v>8900</v>
      </c>
    </row>
    <row r="12">
      <c r="A12" s="3">
        <v>2025.0</v>
      </c>
      <c r="B12" s="3" t="s">
        <v>13</v>
      </c>
      <c r="C12" s="1" t="s">
        <v>14</v>
      </c>
      <c r="F12" s="3" t="s">
        <v>26</v>
      </c>
      <c r="G12" s="3" t="s">
        <v>38</v>
      </c>
      <c r="H12" s="3" t="s">
        <v>39</v>
      </c>
      <c r="I12" s="3" t="s">
        <v>40</v>
      </c>
      <c r="J12" s="3">
        <v>400.0</v>
      </c>
      <c r="K12" s="3"/>
      <c r="L12" s="3">
        <v>1.0</v>
      </c>
      <c r="M12" s="3"/>
      <c r="N12" s="3">
        <v>15990.0</v>
      </c>
      <c r="P12" s="4">
        <f t="shared" si="3"/>
        <v>15990</v>
      </c>
    </row>
    <row r="13">
      <c r="A13" s="3">
        <v>2025.0</v>
      </c>
      <c r="B13" s="3" t="s">
        <v>13</v>
      </c>
      <c r="C13" s="1" t="s">
        <v>14</v>
      </c>
      <c r="F13" s="3" t="s">
        <v>26</v>
      </c>
      <c r="G13" s="3" t="s">
        <v>33</v>
      </c>
      <c r="H13" s="3" t="s">
        <v>41</v>
      </c>
      <c r="I13" s="3" t="s">
        <v>26</v>
      </c>
      <c r="J13" s="3">
        <v>1000.0</v>
      </c>
      <c r="K13" s="3"/>
      <c r="N13" s="3">
        <v>10980.0</v>
      </c>
      <c r="P13" s="4">
        <f t="shared" ref="P13:P20" si="4">N13*J13/1000</f>
        <v>10980</v>
      </c>
    </row>
    <row r="14">
      <c r="A14" s="3">
        <v>2025.0</v>
      </c>
      <c r="B14" s="3" t="s">
        <v>13</v>
      </c>
      <c r="C14" s="1" t="s">
        <v>14</v>
      </c>
      <c r="F14" s="3" t="s">
        <v>26</v>
      </c>
      <c r="G14" s="3" t="s">
        <v>33</v>
      </c>
      <c r="H14" s="3" t="s">
        <v>42</v>
      </c>
      <c r="I14" s="3" t="s">
        <v>26</v>
      </c>
      <c r="J14" s="3">
        <v>544.0</v>
      </c>
      <c r="K14" s="3"/>
      <c r="N14" s="3">
        <v>19400.0</v>
      </c>
      <c r="P14" s="4">
        <f t="shared" si="4"/>
        <v>10553.6</v>
      </c>
    </row>
    <row r="15">
      <c r="A15" s="3">
        <v>2025.0</v>
      </c>
      <c r="B15" s="3" t="s">
        <v>13</v>
      </c>
      <c r="C15" s="1" t="s">
        <v>14</v>
      </c>
      <c r="F15" s="3" t="s">
        <v>26</v>
      </c>
      <c r="G15" s="3" t="s">
        <v>33</v>
      </c>
      <c r="H15" s="3" t="s">
        <v>42</v>
      </c>
      <c r="I15" s="3" t="s">
        <v>26</v>
      </c>
      <c r="J15" s="3">
        <v>512.0</v>
      </c>
      <c r="K15" s="3"/>
      <c r="N15" s="3">
        <v>19400.0</v>
      </c>
      <c r="P15" s="4">
        <f t="shared" si="4"/>
        <v>9932.8</v>
      </c>
    </row>
    <row r="16">
      <c r="A16" s="3">
        <v>2025.0</v>
      </c>
      <c r="B16" s="3" t="s">
        <v>13</v>
      </c>
      <c r="C16" s="1" t="s">
        <v>14</v>
      </c>
      <c r="F16" s="3" t="s">
        <v>26</v>
      </c>
      <c r="G16" s="3" t="s">
        <v>33</v>
      </c>
      <c r="H16" s="3" t="s">
        <v>43</v>
      </c>
      <c r="I16" s="3" t="s">
        <v>26</v>
      </c>
      <c r="J16" s="3">
        <v>606.0</v>
      </c>
      <c r="K16" s="3"/>
      <c r="N16" s="3">
        <v>28580.0</v>
      </c>
      <c r="P16" s="4">
        <f t="shared" si="4"/>
        <v>17319.48</v>
      </c>
    </row>
    <row r="17">
      <c r="A17" s="3">
        <v>2025.0</v>
      </c>
      <c r="B17" s="3" t="s">
        <v>13</v>
      </c>
      <c r="C17" s="1" t="s">
        <v>14</v>
      </c>
      <c r="F17" s="3" t="s">
        <v>26</v>
      </c>
      <c r="G17" s="3" t="s">
        <v>33</v>
      </c>
      <c r="H17" s="3" t="s">
        <v>44</v>
      </c>
      <c r="I17" s="3" t="s">
        <v>26</v>
      </c>
      <c r="J17" s="3">
        <v>532.0</v>
      </c>
      <c r="K17" s="3"/>
      <c r="N17" s="3">
        <v>31980.0</v>
      </c>
      <c r="P17" s="4">
        <f t="shared" si="4"/>
        <v>17013.36</v>
      </c>
    </row>
    <row r="18">
      <c r="A18" s="3">
        <v>2025.0</v>
      </c>
      <c r="B18" s="3" t="s">
        <v>13</v>
      </c>
      <c r="C18" s="1" t="s">
        <v>14</v>
      </c>
      <c r="F18" s="3" t="s">
        <v>26</v>
      </c>
      <c r="G18" s="3" t="s">
        <v>33</v>
      </c>
      <c r="H18" s="3" t="s">
        <v>45</v>
      </c>
      <c r="I18" s="3" t="s">
        <v>26</v>
      </c>
      <c r="J18" s="3">
        <v>500.0</v>
      </c>
      <c r="K18" s="3"/>
      <c r="N18" s="3">
        <v>18580.0</v>
      </c>
      <c r="P18" s="4">
        <f t="shared" si="4"/>
        <v>9290</v>
      </c>
    </row>
    <row r="19">
      <c r="A19" s="3">
        <v>2025.0</v>
      </c>
      <c r="B19" s="3" t="s">
        <v>13</v>
      </c>
      <c r="C19" s="1" t="s">
        <v>14</v>
      </c>
      <c r="F19" s="3" t="s">
        <v>26</v>
      </c>
      <c r="G19" s="3" t="s">
        <v>31</v>
      </c>
      <c r="H19" s="3" t="s">
        <v>46</v>
      </c>
      <c r="I19" s="3" t="s">
        <v>26</v>
      </c>
      <c r="J19" s="3">
        <v>3440.0</v>
      </c>
      <c r="K19" s="3"/>
      <c r="N19" s="3">
        <v>2300.0</v>
      </c>
      <c r="P19" s="4">
        <f t="shared" si="4"/>
        <v>7912</v>
      </c>
    </row>
    <row r="20">
      <c r="A20" s="3">
        <v>2025.0</v>
      </c>
      <c r="B20" s="3" t="s">
        <v>13</v>
      </c>
      <c r="C20" s="1" t="s">
        <v>14</v>
      </c>
      <c r="F20" s="3" t="s">
        <v>26</v>
      </c>
      <c r="G20" s="3" t="s">
        <v>31</v>
      </c>
      <c r="H20" s="3" t="s">
        <v>47</v>
      </c>
      <c r="I20" s="3" t="s">
        <v>26</v>
      </c>
      <c r="J20" s="3">
        <v>382.0</v>
      </c>
      <c r="K20" s="3"/>
      <c r="N20" s="3">
        <v>6400.0</v>
      </c>
      <c r="P20" s="4">
        <f t="shared" si="4"/>
        <v>2444.8</v>
      </c>
    </row>
    <row r="21">
      <c r="A21" s="3">
        <v>2025.0</v>
      </c>
      <c r="B21" s="3" t="s">
        <v>13</v>
      </c>
      <c r="C21" s="1" t="s">
        <v>14</v>
      </c>
      <c r="F21" s="3" t="s">
        <v>26</v>
      </c>
      <c r="G21" s="3" t="s">
        <v>48</v>
      </c>
      <c r="H21" s="3" t="s">
        <v>49</v>
      </c>
      <c r="I21" s="3" t="s">
        <v>35</v>
      </c>
      <c r="J21" s="3">
        <v>500.0</v>
      </c>
      <c r="K21" s="3"/>
      <c r="L21" s="3">
        <v>1.0</v>
      </c>
      <c r="M21" s="3"/>
      <c r="N21" s="3">
        <v>3550.0</v>
      </c>
      <c r="P21" s="4">
        <f t="shared" ref="P21:P23" si="5">N21*L21</f>
        <v>3550</v>
      </c>
    </row>
    <row r="22">
      <c r="A22" s="3">
        <v>2025.0</v>
      </c>
      <c r="B22" s="3" t="s">
        <v>13</v>
      </c>
      <c r="C22" s="1" t="s">
        <v>14</v>
      </c>
      <c r="F22" s="3" t="s">
        <v>26</v>
      </c>
      <c r="G22" s="3" t="s">
        <v>48</v>
      </c>
      <c r="H22" s="3" t="s">
        <v>50</v>
      </c>
      <c r="I22" s="3" t="s">
        <v>35</v>
      </c>
      <c r="J22" s="3">
        <v>500.0</v>
      </c>
      <c r="K22" s="3"/>
      <c r="L22" s="3">
        <v>1.0</v>
      </c>
      <c r="M22" s="3"/>
      <c r="N22" s="3">
        <v>3990.0</v>
      </c>
      <c r="P22" s="4">
        <f t="shared" si="5"/>
        <v>3990</v>
      </c>
    </row>
    <row r="23">
      <c r="A23" s="3">
        <v>2025.0</v>
      </c>
      <c r="B23" s="3" t="s">
        <v>13</v>
      </c>
      <c r="C23" s="1" t="s">
        <v>14</v>
      </c>
      <c r="F23" s="3" t="s">
        <v>26</v>
      </c>
      <c r="G23" s="3" t="s">
        <v>48</v>
      </c>
      <c r="H23" s="3" t="s">
        <v>51</v>
      </c>
      <c r="I23" s="3" t="s">
        <v>35</v>
      </c>
      <c r="J23" s="3">
        <v>500.0</v>
      </c>
      <c r="K23" s="3"/>
      <c r="L23" s="3">
        <v>1.0</v>
      </c>
      <c r="M23" s="3"/>
      <c r="N23" s="3">
        <v>3590.0</v>
      </c>
      <c r="P23" s="4">
        <f t="shared" si="5"/>
        <v>3590</v>
      </c>
    </row>
    <row r="24">
      <c r="A24" s="3">
        <v>2025.0</v>
      </c>
      <c r="B24" s="3" t="s">
        <v>13</v>
      </c>
      <c r="C24" s="1" t="s">
        <v>14</v>
      </c>
      <c r="F24" s="3" t="s">
        <v>26</v>
      </c>
      <c r="G24" s="3" t="s">
        <v>29</v>
      </c>
      <c r="H24" s="3" t="s">
        <v>52</v>
      </c>
      <c r="I24" s="3" t="s">
        <v>26</v>
      </c>
      <c r="J24" s="3">
        <v>874.0</v>
      </c>
      <c r="K24" s="3"/>
      <c r="N24" s="3">
        <v>3700.0</v>
      </c>
      <c r="P24" s="4">
        <f t="shared" ref="P24:P36" si="6">N24*J24/1000</f>
        <v>3233.8</v>
      </c>
    </row>
    <row r="25">
      <c r="A25" s="3">
        <v>2025.0</v>
      </c>
      <c r="B25" s="3" t="s">
        <v>13</v>
      </c>
      <c r="C25" s="1" t="s">
        <v>14</v>
      </c>
      <c r="F25" s="3" t="s">
        <v>26</v>
      </c>
      <c r="G25" s="3" t="s">
        <v>31</v>
      </c>
      <c r="H25" s="3" t="s">
        <v>53</v>
      </c>
      <c r="I25" s="3" t="s">
        <v>26</v>
      </c>
      <c r="J25" s="3">
        <v>886.0</v>
      </c>
      <c r="K25" s="3"/>
      <c r="N25" s="3">
        <v>2500.0</v>
      </c>
      <c r="P25" s="4">
        <f t="shared" si="6"/>
        <v>2215</v>
      </c>
    </row>
    <row r="26">
      <c r="A26" s="3">
        <v>2025.0</v>
      </c>
      <c r="B26" s="3" t="s">
        <v>13</v>
      </c>
      <c r="C26" s="1" t="s">
        <v>14</v>
      </c>
      <c r="F26" s="3" t="s">
        <v>26</v>
      </c>
      <c r="G26" s="3" t="s">
        <v>31</v>
      </c>
      <c r="H26" s="3" t="s">
        <v>53</v>
      </c>
      <c r="I26" s="3" t="s">
        <v>26</v>
      </c>
      <c r="J26" s="3">
        <v>950.0</v>
      </c>
      <c r="K26" s="3"/>
      <c r="N26" s="3">
        <v>2500.0</v>
      </c>
      <c r="P26" s="4">
        <f t="shared" si="6"/>
        <v>2375</v>
      </c>
    </row>
    <row r="27">
      <c r="A27" s="3">
        <v>2025.0</v>
      </c>
      <c r="B27" s="3" t="s">
        <v>13</v>
      </c>
      <c r="C27" s="1" t="s">
        <v>14</v>
      </c>
      <c r="F27" s="3" t="s">
        <v>26</v>
      </c>
      <c r="G27" s="3" t="s">
        <v>31</v>
      </c>
      <c r="H27" s="3" t="s">
        <v>54</v>
      </c>
      <c r="I27" s="3" t="s">
        <v>26</v>
      </c>
      <c r="J27" s="3">
        <v>570.0</v>
      </c>
      <c r="K27" s="3"/>
      <c r="N27" s="3">
        <v>6300.0</v>
      </c>
      <c r="P27" s="4">
        <f t="shared" si="6"/>
        <v>3591</v>
      </c>
    </row>
    <row r="28">
      <c r="A28" s="3">
        <v>2025.0</v>
      </c>
      <c r="B28" s="3" t="s">
        <v>13</v>
      </c>
      <c r="C28" s="1" t="s">
        <v>14</v>
      </c>
      <c r="F28" s="3" t="s">
        <v>26</v>
      </c>
      <c r="G28" s="3" t="s">
        <v>31</v>
      </c>
      <c r="H28" s="3" t="s">
        <v>54</v>
      </c>
      <c r="I28" s="3" t="s">
        <v>26</v>
      </c>
      <c r="J28" s="3">
        <v>638.0</v>
      </c>
      <c r="K28" s="3"/>
      <c r="N28" s="3">
        <v>6300.0</v>
      </c>
      <c r="P28" s="4">
        <f t="shared" si="6"/>
        <v>4019.4</v>
      </c>
    </row>
    <row r="29">
      <c r="A29" s="3">
        <v>2025.0</v>
      </c>
      <c r="B29" s="3" t="s">
        <v>13</v>
      </c>
      <c r="C29" s="1" t="s">
        <v>14</v>
      </c>
      <c r="F29" s="3" t="s">
        <v>26</v>
      </c>
      <c r="G29" s="3" t="s">
        <v>31</v>
      </c>
      <c r="H29" s="3" t="s">
        <v>55</v>
      </c>
      <c r="I29" s="3" t="s">
        <v>26</v>
      </c>
      <c r="J29" s="3">
        <v>1092.0</v>
      </c>
      <c r="K29" s="3"/>
      <c r="N29" s="3">
        <v>2300.0</v>
      </c>
      <c r="P29" s="4">
        <f t="shared" si="6"/>
        <v>2511.6</v>
      </c>
    </row>
    <row r="30">
      <c r="A30" s="3">
        <v>2025.0</v>
      </c>
      <c r="B30" s="3" t="s">
        <v>13</v>
      </c>
      <c r="C30" s="1" t="s">
        <v>14</v>
      </c>
      <c r="F30" s="3" t="s">
        <v>26</v>
      </c>
      <c r="G30" s="3" t="s">
        <v>33</v>
      </c>
      <c r="H30" s="3" t="s">
        <v>56</v>
      </c>
      <c r="I30" s="3" t="s">
        <v>26</v>
      </c>
      <c r="J30" s="3">
        <v>3380.0</v>
      </c>
      <c r="K30" s="3"/>
      <c r="N30" s="3">
        <v>10980.0</v>
      </c>
      <c r="P30" s="4">
        <f t="shared" si="6"/>
        <v>37112.4</v>
      </c>
    </row>
    <row r="31">
      <c r="A31" s="3">
        <v>2025.0</v>
      </c>
      <c r="B31" s="3" t="s">
        <v>13</v>
      </c>
      <c r="C31" s="1" t="s">
        <v>14</v>
      </c>
      <c r="F31" s="3" t="s">
        <v>26</v>
      </c>
      <c r="G31" s="3" t="s">
        <v>31</v>
      </c>
      <c r="H31" s="3" t="s">
        <v>57</v>
      </c>
      <c r="I31" s="3" t="s">
        <v>26</v>
      </c>
      <c r="J31" s="3">
        <v>556.0</v>
      </c>
      <c r="K31" s="3"/>
      <c r="N31" s="3">
        <v>2500.0</v>
      </c>
      <c r="P31" s="4">
        <f t="shared" si="6"/>
        <v>1390</v>
      </c>
    </row>
    <row r="32">
      <c r="A32" s="3">
        <v>2025.0</v>
      </c>
      <c r="B32" s="3" t="s">
        <v>13</v>
      </c>
      <c r="C32" s="1" t="s">
        <v>14</v>
      </c>
      <c r="F32" s="3" t="s">
        <v>26</v>
      </c>
      <c r="G32" s="3" t="s">
        <v>31</v>
      </c>
      <c r="H32" s="3" t="s">
        <v>58</v>
      </c>
      <c r="I32" s="3" t="s">
        <v>26</v>
      </c>
      <c r="J32" s="3">
        <v>2628.0</v>
      </c>
      <c r="K32" s="3"/>
      <c r="N32" s="3">
        <v>5180.0</v>
      </c>
      <c r="P32" s="4">
        <f t="shared" si="6"/>
        <v>13613.04</v>
      </c>
    </row>
    <row r="33">
      <c r="A33" s="3">
        <v>2025.0</v>
      </c>
      <c r="B33" s="3" t="s">
        <v>13</v>
      </c>
      <c r="C33" s="1" t="s">
        <v>14</v>
      </c>
      <c r="F33" s="3" t="s">
        <v>26</v>
      </c>
      <c r="G33" s="3" t="s">
        <v>31</v>
      </c>
      <c r="H33" s="3" t="s">
        <v>58</v>
      </c>
      <c r="I33" s="3" t="s">
        <v>26</v>
      </c>
      <c r="J33" s="3">
        <v>704.0</v>
      </c>
      <c r="K33" s="3"/>
      <c r="N33" s="3">
        <v>5180.0</v>
      </c>
      <c r="P33" s="4">
        <f t="shared" si="6"/>
        <v>3646.72</v>
      </c>
    </row>
    <row r="34">
      <c r="A34" s="3">
        <v>2025.0</v>
      </c>
      <c r="B34" s="3" t="s">
        <v>13</v>
      </c>
      <c r="C34" s="1" t="s">
        <v>14</v>
      </c>
      <c r="F34" s="3" t="s">
        <v>26</v>
      </c>
      <c r="G34" s="3" t="s">
        <v>31</v>
      </c>
      <c r="H34" s="3" t="s">
        <v>59</v>
      </c>
      <c r="I34" s="3" t="s">
        <v>26</v>
      </c>
      <c r="J34" s="3">
        <v>932.0</v>
      </c>
      <c r="K34" s="3"/>
      <c r="N34" s="3">
        <v>1980.0</v>
      </c>
      <c r="P34" s="4">
        <f t="shared" si="6"/>
        <v>1845.36</v>
      </c>
    </row>
    <row r="35">
      <c r="A35" s="3">
        <v>2025.0</v>
      </c>
      <c r="B35" s="3" t="s">
        <v>13</v>
      </c>
      <c r="C35" s="1" t="s">
        <v>14</v>
      </c>
      <c r="F35" s="3" t="s">
        <v>26</v>
      </c>
      <c r="G35" s="3" t="s">
        <v>31</v>
      </c>
      <c r="H35" s="3" t="s">
        <v>59</v>
      </c>
      <c r="I35" s="3" t="s">
        <v>26</v>
      </c>
      <c r="J35" s="3">
        <v>1018.0</v>
      </c>
      <c r="K35" s="3"/>
      <c r="N35" s="3">
        <v>1980.0</v>
      </c>
      <c r="P35" s="4">
        <f t="shared" si="6"/>
        <v>2015.64</v>
      </c>
    </row>
    <row r="36">
      <c r="A36" s="3">
        <v>2025.0</v>
      </c>
      <c r="B36" s="3" t="s">
        <v>13</v>
      </c>
      <c r="C36" s="1" t="s">
        <v>14</v>
      </c>
      <c r="F36" s="3" t="s">
        <v>26</v>
      </c>
      <c r="G36" s="3" t="s">
        <v>31</v>
      </c>
      <c r="H36" s="3" t="s">
        <v>60</v>
      </c>
      <c r="I36" s="3" t="s">
        <v>26</v>
      </c>
      <c r="J36" s="3">
        <v>694.0</v>
      </c>
      <c r="K36" s="3"/>
      <c r="N36" s="3">
        <v>2100.0</v>
      </c>
      <c r="P36" s="4">
        <f t="shared" si="6"/>
        <v>1457.4</v>
      </c>
    </row>
    <row r="37">
      <c r="A37" s="5" t="s">
        <v>12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7">
        <f>SUM(P7:P36)</f>
        <v>223194.04</v>
      </c>
    </row>
    <row r="38">
      <c r="A38" s="3">
        <v>2025.0</v>
      </c>
      <c r="B38" s="3" t="s">
        <v>61</v>
      </c>
      <c r="C38" s="1" t="s">
        <v>14</v>
      </c>
      <c r="F38" s="3" t="s">
        <v>15</v>
      </c>
      <c r="H38" s="3" t="s">
        <v>62</v>
      </c>
      <c r="L38" s="3">
        <v>1.0</v>
      </c>
      <c r="M38" s="3"/>
      <c r="N38" s="8">
        <v>2200.0</v>
      </c>
      <c r="P38" s="4">
        <f t="shared" ref="P38:P55" si="7">N38*L38</f>
        <v>2200</v>
      </c>
    </row>
    <row r="39">
      <c r="A39" s="3">
        <v>2025.0</v>
      </c>
      <c r="B39" s="3" t="s">
        <v>61</v>
      </c>
      <c r="C39" s="1" t="s">
        <v>14</v>
      </c>
      <c r="F39" s="3" t="s">
        <v>15</v>
      </c>
      <c r="H39" s="3" t="s">
        <v>63</v>
      </c>
      <c r="L39" s="3">
        <v>1.0</v>
      </c>
      <c r="M39" s="3"/>
      <c r="N39" s="8">
        <v>1250.0</v>
      </c>
      <c r="P39" s="4">
        <f t="shared" si="7"/>
        <v>1250</v>
      </c>
    </row>
    <row r="40">
      <c r="A40" s="3">
        <v>2025.0</v>
      </c>
      <c r="B40" s="3" t="s">
        <v>61</v>
      </c>
      <c r="C40" s="1" t="s">
        <v>14</v>
      </c>
      <c r="F40" s="3" t="s">
        <v>15</v>
      </c>
      <c r="H40" s="3" t="s">
        <v>64</v>
      </c>
      <c r="L40" s="3">
        <v>1.0</v>
      </c>
      <c r="M40" s="3"/>
      <c r="N40" s="9">
        <v>4900.0</v>
      </c>
      <c r="P40" s="4">
        <f t="shared" si="7"/>
        <v>4900</v>
      </c>
    </row>
    <row r="41">
      <c r="A41" s="3">
        <v>2025.0</v>
      </c>
      <c r="B41" s="3" t="s">
        <v>61</v>
      </c>
      <c r="C41" s="1" t="s">
        <v>14</v>
      </c>
      <c r="F41" s="3" t="s">
        <v>15</v>
      </c>
      <c r="H41" s="3" t="s">
        <v>65</v>
      </c>
      <c r="L41" s="3">
        <v>1.0</v>
      </c>
      <c r="M41" s="3"/>
      <c r="N41" s="8">
        <v>6990.0</v>
      </c>
      <c r="P41" s="4">
        <f t="shared" si="7"/>
        <v>6990</v>
      </c>
    </row>
    <row r="42">
      <c r="A42" s="3">
        <v>2025.0</v>
      </c>
      <c r="B42" s="3" t="s">
        <v>61</v>
      </c>
      <c r="C42" s="1" t="s">
        <v>14</v>
      </c>
      <c r="F42" s="3" t="s">
        <v>15</v>
      </c>
      <c r="H42" s="3" t="s">
        <v>66</v>
      </c>
      <c r="L42" s="3">
        <v>1.0</v>
      </c>
      <c r="M42" s="3"/>
      <c r="N42" s="8">
        <v>1250.0</v>
      </c>
      <c r="P42" s="4">
        <f t="shared" si="7"/>
        <v>1250</v>
      </c>
    </row>
    <row r="43">
      <c r="A43" s="3">
        <v>2025.0</v>
      </c>
      <c r="B43" s="3" t="s">
        <v>61</v>
      </c>
      <c r="C43" s="1" t="s">
        <v>14</v>
      </c>
      <c r="F43" s="3" t="s">
        <v>15</v>
      </c>
      <c r="H43" s="3" t="s">
        <v>67</v>
      </c>
      <c r="L43" s="3">
        <v>1.0</v>
      </c>
      <c r="M43" s="3"/>
      <c r="N43" s="8">
        <v>2450.0</v>
      </c>
      <c r="P43" s="4">
        <f t="shared" si="7"/>
        <v>2450</v>
      </c>
    </row>
    <row r="44">
      <c r="A44" s="3">
        <v>2025.0</v>
      </c>
      <c r="B44" s="3" t="s">
        <v>61</v>
      </c>
      <c r="C44" s="1" t="s">
        <v>14</v>
      </c>
      <c r="F44" s="3" t="s">
        <v>15</v>
      </c>
      <c r="H44" s="3" t="s">
        <v>68</v>
      </c>
      <c r="L44" s="3">
        <v>1.0</v>
      </c>
      <c r="M44" s="3"/>
      <c r="N44" s="8">
        <v>4570.0</v>
      </c>
      <c r="P44" s="4">
        <f t="shared" si="7"/>
        <v>4570</v>
      </c>
    </row>
    <row r="45">
      <c r="A45" s="3">
        <v>2025.0</v>
      </c>
      <c r="B45" s="3" t="s">
        <v>61</v>
      </c>
      <c r="C45" s="1" t="s">
        <v>14</v>
      </c>
      <c r="F45" s="3" t="s">
        <v>15</v>
      </c>
      <c r="H45" s="3" t="s">
        <v>69</v>
      </c>
      <c r="L45" s="3">
        <v>3.0</v>
      </c>
      <c r="M45" s="3"/>
      <c r="N45" s="3">
        <v>1990.0</v>
      </c>
      <c r="P45" s="4">
        <f t="shared" si="7"/>
        <v>5970</v>
      </c>
    </row>
    <row r="46">
      <c r="A46" s="3">
        <v>2025.0</v>
      </c>
      <c r="B46" s="3" t="s">
        <v>61</v>
      </c>
      <c r="C46" s="1" t="s">
        <v>14</v>
      </c>
      <c r="F46" s="3" t="s">
        <v>15</v>
      </c>
      <c r="H46" s="3" t="s">
        <v>70</v>
      </c>
      <c r="L46" s="3">
        <v>1.0</v>
      </c>
      <c r="M46" s="3"/>
      <c r="N46" s="8">
        <v>6450.0</v>
      </c>
      <c r="P46" s="4">
        <f t="shared" si="7"/>
        <v>6450</v>
      </c>
    </row>
    <row r="47">
      <c r="A47" s="3">
        <v>2025.0</v>
      </c>
      <c r="B47" s="3" t="s">
        <v>61</v>
      </c>
      <c r="C47" s="1" t="s">
        <v>14</v>
      </c>
      <c r="F47" s="3" t="s">
        <v>15</v>
      </c>
      <c r="H47" s="3" t="s">
        <v>71</v>
      </c>
      <c r="L47" s="3">
        <v>1.0</v>
      </c>
      <c r="M47" s="3"/>
      <c r="N47" s="8">
        <v>5350.0</v>
      </c>
      <c r="P47" s="4">
        <f t="shared" si="7"/>
        <v>5350</v>
      </c>
    </row>
    <row r="48">
      <c r="A48" s="3">
        <v>2025.0</v>
      </c>
      <c r="B48" s="3" t="s">
        <v>61</v>
      </c>
      <c r="C48" s="1" t="s">
        <v>14</v>
      </c>
      <c r="F48" s="3" t="s">
        <v>15</v>
      </c>
      <c r="H48" s="3" t="s">
        <v>72</v>
      </c>
      <c r="L48" s="3">
        <v>1.0</v>
      </c>
      <c r="M48" s="3"/>
      <c r="N48" s="8">
        <v>8700.0</v>
      </c>
      <c r="P48" s="4">
        <f t="shared" si="7"/>
        <v>8700</v>
      </c>
    </row>
    <row r="49">
      <c r="A49" s="3">
        <v>2025.0</v>
      </c>
      <c r="B49" s="3" t="s">
        <v>61</v>
      </c>
      <c r="C49" s="1" t="s">
        <v>14</v>
      </c>
      <c r="F49" s="3" t="s">
        <v>15</v>
      </c>
      <c r="H49" s="3" t="s">
        <v>73</v>
      </c>
      <c r="L49" s="3">
        <v>1.0</v>
      </c>
      <c r="M49" s="3"/>
      <c r="N49" s="8">
        <v>2600.0</v>
      </c>
      <c r="P49" s="4">
        <f t="shared" si="7"/>
        <v>2600</v>
      </c>
    </row>
    <row r="50">
      <c r="A50" s="3">
        <v>2025.0</v>
      </c>
      <c r="B50" s="3" t="s">
        <v>61</v>
      </c>
      <c r="C50" s="1" t="s">
        <v>14</v>
      </c>
      <c r="F50" s="3" t="s">
        <v>15</v>
      </c>
      <c r="H50" s="3" t="s">
        <v>74</v>
      </c>
      <c r="L50" s="3">
        <v>1.0</v>
      </c>
      <c r="M50" s="3"/>
      <c r="N50" s="8">
        <v>3790.0</v>
      </c>
      <c r="P50" s="4">
        <f t="shared" si="7"/>
        <v>3790</v>
      </c>
    </row>
    <row r="51">
      <c r="A51" s="3">
        <v>2025.0</v>
      </c>
      <c r="B51" s="3" t="s">
        <v>61</v>
      </c>
      <c r="C51" s="1" t="s">
        <v>14</v>
      </c>
      <c r="F51" s="3" t="s">
        <v>15</v>
      </c>
      <c r="H51" s="3" t="s">
        <v>75</v>
      </c>
      <c r="L51" s="3">
        <v>1.0</v>
      </c>
      <c r="M51" s="3"/>
      <c r="N51" s="8">
        <v>4750.0</v>
      </c>
      <c r="P51" s="4">
        <f t="shared" si="7"/>
        <v>4750</v>
      </c>
    </row>
    <row r="52">
      <c r="A52" s="3">
        <v>2025.0</v>
      </c>
      <c r="B52" s="3" t="s">
        <v>61</v>
      </c>
      <c r="C52" s="1" t="s">
        <v>14</v>
      </c>
      <c r="F52" s="3" t="s">
        <v>15</v>
      </c>
      <c r="H52" s="3" t="s">
        <v>76</v>
      </c>
      <c r="L52" s="3">
        <v>1.0</v>
      </c>
      <c r="M52" s="3"/>
      <c r="N52" s="8">
        <v>1650.0</v>
      </c>
      <c r="P52" s="4">
        <f t="shared" si="7"/>
        <v>1650</v>
      </c>
    </row>
    <row r="53">
      <c r="A53" s="3">
        <v>2025.0</v>
      </c>
      <c r="B53" s="3" t="s">
        <v>61</v>
      </c>
      <c r="C53" s="1" t="s">
        <v>14</v>
      </c>
      <c r="F53" s="3" t="s">
        <v>15</v>
      </c>
      <c r="H53" s="3" t="s">
        <v>77</v>
      </c>
      <c r="L53" s="3">
        <v>3.0</v>
      </c>
      <c r="M53" s="3"/>
      <c r="N53" s="3">
        <v>1950.0</v>
      </c>
      <c r="P53" s="4">
        <f t="shared" si="7"/>
        <v>5850</v>
      </c>
    </row>
    <row r="54">
      <c r="A54" s="3">
        <v>2025.0</v>
      </c>
      <c r="B54" s="3" t="s">
        <v>61</v>
      </c>
      <c r="C54" s="1" t="s">
        <v>14</v>
      </c>
      <c r="F54" s="3" t="s">
        <v>15</v>
      </c>
      <c r="G54" s="3" t="s">
        <v>16</v>
      </c>
      <c r="H54" s="3" t="s">
        <v>78</v>
      </c>
      <c r="L54" s="3">
        <v>2.0</v>
      </c>
      <c r="M54" s="3"/>
      <c r="N54" s="3">
        <v>1450.0</v>
      </c>
      <c r="P54" s="4">
        <f t="shared" si="7"/>
        <v>2900</v>
      </c>
    </row>
    <row r="55">
      <c r="A55" s="3">
        <v>2025.0</v>
      </c>
      <c r="B55" s="3" t="s">
        <v>61</v>
      </c>
      <c r="C55" s="1" t="s">
        <v>14</v>
      </c>
      <c r="F55" s="3" t="s">
        <v>15</v>
      </c>
      <c r="G55" s="3" t="s">
        <v>16</v>
      </c>
      <c r="H55" s="3" t="s">
        <v>78</v>
      </c>
      <c r="L55" s="3">
        <v>1.0</v>
      </c>
      <c r="M55" s="3"/>
      <c r="N55" s="8">
        <v>1450.0</v>
      </c>
      <c r="P55" s="4">
        <f t="shared" si="7"/>
        <v>1450</v>
      </c>
    </row>
    <row r="56">
      <c r="A56" s="5" t="s">
        <v>12</v>
      </c>
      <c r="F56" s="6"/>
      <c r="G56" s="6"/>
      <c r="H56" s="6"/>
      <c r="I56" s="6"/>
      <c r="J56" s="6"/>
      <c r="K56" s="6"/>
      <c r="L56" s="6"/>
      <c r="M56" s="6"/>
      <c r="N56" s="6"/>
      <c r="O56" s="10" t="str">
        <f>CHANGE(P6,P56)</f>
        <v>#NAME?</v>
      </c>
      <c r="P56" s="7">
        <f>SUM(P38:P55)</f>
        <v>73070</v>
      </c>
      <c r="Q56" s="3">
        <v>380000.0</v>
      </c>
      <c r="R56" s="11">
        <f>Q56+150000</f>
        <v>530000</v>
      </c>
      <c r="S56" s="12">
        <f>(R56-Q56)/Q56</f>
        <v>0.3947368421</v>
      </c>
      <c r="T56" s="12"/>
      <c r="U56" s="12"/>
      <c r="V56" s="12"/>
      <c r="W56" s="12"/>
    </row>
    <row r="57">
      <c r="A57" s="3">
        <v>2025.0</v>
      </c>
      <c r="B57" s="3" t="s">
        <v>61</v>
      </c>
      <c r="C57" s="1" t="s">
        <v>14</v>
      </c>
      <c r="F57" s="3" t="s">
        <v>26</v>
      </c>
      <c r="H57" s="3" t="s">
        <v>79</v>
      </c>
      <c r="I57" s="3" t="s">
        <v>80</v>
      </c>
      <c r="J57" s="3">
        <v>1300.0</v>
      </c>
      <c r="L57" s="3">
        <v>1.0</v>
      </c>
      <c r="N57" s="13">
        <v>13950.0</v>
      </c>
      <c r="P57" s="4">
        <f>N57*L57</f>
        <v>13950</v>
      </c>
    </row>
    <row r="58">
      <c r="A58" s="3">
        <v>2025.0</v>
      </c>
      <c r="B58" s="3" t="s">
        <v>61</v>
      </c>
      <c r="C58" s="1" t="s">
        <v>14</v>
      </c>
      <c r="F58" s="3" t="s">
        <v>26</v>
      </c>
      <c r="G58" s="3" t="s">
        <v>29</v>
      </c>
      <c r="H58" s="3" t="s">
        <v>30</v>
      </c>
      <c r="J58" s="13">
        <v>1702.0</v>
      </c>
      <c r="N58" s="13">
        <v>7980.0</v>
      </c>
      <c r="P58" s="4">
        <f>N58*J58/1000</f>
        <v>13581.96</v>
      </c>
    </row>
    <row r="59">
      <c r="A59" s="3">
        <v>2025.0</v>
      </c>
      <c r="B59" s="3" t="s">
        <v>61</v>
      </c>
      <c r="C59" s="1" t="s">
        <v>14</v>
      </c>
      <c r="F59" s="3" t="s">
        <v>26</v>
      </c>
      <c r="G59" s="3" t="s">
        <v>33</v>
      </c>
      <c r="H59" s="3" t="s">
        <v>34</v>
      </c>
      <c r="I59" s="3" t="s">
        <v>35</v>
      </c>
      <c r="J59" s="3">
        <v>160.0</v>
      </c>
      <c r="L59" s="3">
        <v>1.0</v>
      </c>
      <c r="N59" s="13">
        <v>4990.0</v>
      </c>
      <c r="O59" s="11" t="str">
        <f>CHANGE(N10,N59)</f>
        <v>#NAME?</v>
      </c>
      <c r="P59" s="4">
        <f t="shared" ref="P59:P60" si="8">N59*L59</f>
        <v>4990</v>
      </c>
    </row>
    <row r="60">
      <c r="A60" s="3">
        <v>2025.0</v>
      </c>
      <c r="B60" s="3" t="s">
        <v>61</v>
      </c>
      <c r="C60" s="1" t="s">
        <v>14</v>
      </c>
      <c r="F60" s="3" t="s">
        <v>26</v>
      </c>
      <c r="H60" s="3" t="s">
        <v>36</v>
      </c>
      <c r="I60" s="3" t="s">
        <v>37</v>
      </c>
      <c r="J60" s="3">
        <v>2500.0</v>
      </c>
      <c r="L60" s="3">
        <v>1.0</v>
      </c>
      <c r="N60" s="13">
        <v>7850.0</v>
      </c>
      <c r="P60" s="4">
        <f t="shared" si="8"/>
        <v>7850</v>
      </c>
    </row>
    <row r="61">
      <c r="A61" s="3">
        <v>2025.0</v>
      </c>
      <c r="B61" s="3" t="s">
        <v>61</v>
      </c>
      <c r="C61" s="1" t="s">
        <v>14</v>
      </c>
      <c r="F61" s="3" t="s">
        <v>26</v>
      </c>
      <c r="G61" s="3" t="s">
        <v>29</v>
      </c>
      <c r="H61" s="3" t="s">
        <v>81</v>
      </c>
      <c r="J61" s="13">
        <v>1766.0</v>
      </c>
      <c r="N61" s="13">
        <v>3100.0</v>
      </c>
      <c r="P61" s="4">
        <f t="shared" ref="P61:P62" si="9">N61*J61/1000</f>
        <v>5474.6</v>
      </c>
    </row>
    <row r="62">
      <c r="A62" s="3">
        <v>2025.0</v>
      </c>
      <c r="B62" s="3" t="s">
        <v>61</v>
      </c>
      <c r="C62" s="1" t="s">
        <v>14</v>
      </c>
      <c r="F62" s="3" t="s">
        <v>26</v>
      </c>
      <c r="G62" s="3" t="s">
        <v>31</v>
      </c>
      <c r="H62" s="3" t="s">
        <v>82</v>
      </c>
      <c r="J62" s="13">
        <v>874.0</v>
      </c>
      <c r="N62" s="13">
        <v>7900.0</v>
      </c>
      <c r="P62" s="4">
        <f t="shared" si="9"/>
        <v>6904.6</v>
      </c>
    </row>
    <row r="63">
      <c r="A63" s="3">
        <v>2025.0</v>
      </c>
      <c r="B63" s="3" t="s">
        <v>61</v>
      </c>
      <c r="C63" s="1" t="s">
        <v>14</v>
      </c>
      <c r="F63" s="3" t="s">
        <v>26</v>
      </c>
      <c r="H63" s="3" t="s">
        <v>39</v>
      </c>
      <c r="J63" s="3">
        <v>400.0</v>
      </c>
      <c r="L63" s="3">
        <v>1.0</v>
      </c>
      <c r="N63" s="13">
        <v>15990.0</v>
      </c>
      <c r="P63" s="4">
        <f>N63*L63</f>
        <v>15990</v>
      </c>
    </row>
    <row r="64">
      <c r="A64" s="3">
        <v>2025.0</v>
      </c>
      <c r="B64" s="3" t="s">
        <v>61</v>
      </c>
      <c r="C64" s="1" t="s">
        <v>14</v>
      </c>
      <c r="F64" s="3" t="s">
        <v>26</v>
      </c>
      <c r="G64" s="3" t="s">
        <v>33</v>
      </c>
      <c r="H64" s="3" t="s">
        <v>83</v>
      </c>
      <c r="I64" s="3" t="s">
        <v>26</v>
      </c>
      <c r="J64" s="13">
        <v>974.0</v>
      </c>
      <c r="N64" s="13">
        <v>27980.0</v>
      </c>
      <c r="P64" s="4">
        <f t="shared" ref="P64:P72" si="10">N64*J64/1000</f>
        <v>27252.52</v>
      </c>
    </row>
    <row r="65">
      <c r="A65" s="3">
        <v>2025.0</v>
      </c>
      <c r="B65" s="3" t="s">
        <v>61</v>
      </c>
      <c r="C65" s="1" t="s">
        <v>14</v>
      </c>
      <c r="F65" s="3" t="s">
        <v>26</v>
      </c>
      <c r="G65" s="3" t="s">
        <v>33</v>
      </c>
      <c r="H65" s="3" t="s">
        <v>41</v>
      </c>
      <c r="I65" s="3" t="s">
        <v>26</v>
      </c>
      <c r="J65" s="13">
        <v>1026.0</v>
      </c>
      <c r="N65" s="13">
        <v>10980.0</v>
      </c>
      <c r="O65" s="11" t="str">
        <f>CHANGE(N13,N65)</f>
        <v>#NAME?</v>
      </c>
      <c r="P65" s="4">
        <f t="shared" si="10"/>
        <v>11265.48</v>
      </c>
    </row>
    <row r="66">
      <c r="A66" s="3">
        <v>2025.0</v>
      </c>
      <c r="B66" s="3" t="s">
        <v>61</v>
      </c>
      <c r="C66" s="1" t="s">
        <v>14</v>
      </c>
      <c r="F66" s="3" t="s">
        <v>26</v>
      </c>
      <c r="G66" s="3" t="s">
        <v>33</v>
      </c>
      <c r="H66" s="3" t="s">
        <v>84</v>
      </c>
      <c r="I66" s="3" t="s">
        <v>26</v>
      </c>
      <c r="J66" s="13">
        <v>976.0</v>
      </c>
      <c r="N66" s="13">
        <v>26380.0</v>
      </c>
      <c r="P66" s="4">
        <f t="shared" si="10"/>
        <v>25746.88</v>
      </c>
    </row>
    <row r="67">
      <c r="A67" s="3">
        <v>2025.0</v>
      </c>
      <c r="B67" s="3" t="s">
        <v>61</v>
      </c>
      <c r="C67" s="1" t="s">
        <v>14</v>
      </c>
      <c r="F67" s="3" t="s">
        <v>26</v>
      </c>
      <c r="G67" s="3" t="s">
        <v>33</v>
      </c>
      <c r="H67" s="3" t="s">
        <v>42</v>
      </c>
      <c r="I67" s="3" t="s">
        <v>26</v>
      </c>
      <c r="J67" s="3">
        <v>782.0</v>
      </c>
      <c r="K67" s="3"/>
      <c r="N67" s="13">
        <v>19000.0</v>
      </c>
      <c r="O67" s="11" t="str">
        <f>CHANGE(N15,N67)</f>
        <v>#NAME?</v>
      </c>
      <c r="P67" s="4">
        <f t="shared" si="10"/>
        <v>14858</v>
      </c>
    </row>
    <row r="68">
      <c r="A68" s="3">
        <v>2025.0</v>
      </c>
      <c r="B68" s="3" t="s">
        <v>61</v>
      </c>
      <c r="C68" s="1" t="s">
        <v>14</v>
      </c>
      <c r="F68" s="3" t="s">
        <v>26</v>
      </c>
      <c r="G68" s="3" t="s">
        <v>33</v>
      </c>
      <c r="H68" s="3" t="s">
        <v>43</v>
      </c>
      <c r="I68" s="3" t="s">
        <v>26</v>
      </c>
      <c r="J68" s="13">
        <v>1088.0</v>
      </c>
      <c r="N68" s="13">
        <v>28980.0</v>
      </c>
      <c r="P68" s="4">
        <f t="shared" si="10"/>
        <v>31530.24</v>
      </c>
    </row>
    <row r="69">
      <c r="A69" s="3">
        <v>2025.0</v>
      </c>
      <c r="B69" s="3" t="s">
        <v>61</v>
      </c>
      <c r="C69" s="1" t="s">
        <v>14</v>
      </c>
      <c r="F69" s="3" t="s">
        <v>26</v>
      </c>
      <c r="G69" s="3" t="s">
        <v>33</v>
      </c>
      <c r="H69" s="3" t="s">
        <v>44</v>
      </c>
      <c r="I69" s="3" t="s">
        <v>26</v>
      </c>
      <c r="J69" s="3">
        <v>974.0</v>
      </c>
      <c r="N69" s="13">
        <v>31980.0</v>
      </c>
      <c r="P69" s="4">
        <f t="shared" si="10"/>
        <v>31148.52</v>
      </c>
    </row>
    <row r="70">
      <c r="A70" s="3">
        <v>2025.0</v>
      </c>
      <c r="B70" s="3" t="s">
        <v>61</v>
      </c>
      <c r="C70" s="1" t="s">
        <v>14</v>
      </c>
      <c r="F70" s="3" t="s">
        <v>26</v>
      </c>
      <c r="G70" s="3" t="s">
        <v>33</v>
      </c>
      <c r="H70" s="3" t="s">
        <v>85</v>
      </c>
      <c r="I70" s="3" t="s">
        <v>26</v>
      </c>
      <c r="J70" s="3">
        <v>516.0</v>
      </c>
      <c r="N70" s="13">
        <v>25800.0</v>
      </c>
      <c r="P70" s="4">
        <f t="shared" si="10"/>
        <v>13312.8</v>
      </c>
    </row>
    <row r="71">
      <c r="A71" s="3">
        <v>2025.0</v>
      </c>
      <c r="B71" s="3" t="s">
        <v>61</v>
      </c>
      <c r="C71" s="1" t="s">
        <v>14</v>
      </c>
      <c r="F71" s="3" t="s">
        <v>26</v>
      </c>
      <c r="G71" s="3" t="s">
        <v>31</v>
      </c>
      <c r="H71" s="3" t="s">
        <v>46</v>
      </c>
      <c r="J71" s="13">
        <v>4300.0</v>
      </c>
      <c r="N71" s="13">
        <v>2300.0</v>
      </c>
      <c r="P71" s="4">
        <f t="shared" si="10"/>
        <v>9890</v>
      </c>
    </row>
    <row r="72">
      <c r="A72" s="3">
        <v>2025.0</v>
      </c>
      <c r="B72" s="3" t="s">
        <v>61</v>
      </c>
      <c r="C72" s="1" t="s">
        <v>14</v>
      </c>
      <c r="F72" s="3" t="s">
        <v>26</v>
      </c>
      <c r="G72" s="3" t="s">
        <v>31</v>
      </c>
      <c r="H72" s="3" t="s">
        <v>47</v>
      </c>
      <c r="J72" s="3">
        <v>450.0</v>
      </c>
      <c r="N72" s="13">
        <v>7600.0</v>
      </c>
      <c r="P72" s="4">
        <f t="shared" si="10"/>
        <v>3420</v>
      </c>
    </row>
    <row r="73">
      <c r="A73" s="3">
        <v>2025.0</v>
      </c>
      <c r="B73" s="3" t="s">
        <v>61</v>
      </c>
      <c r="C73" s="1" t="s">
        <v>14</v>
      </c>
      <c r="F73" s="3" t="s">
        <v>26</v>
      </c>
      <c r="G73" s="3" t="s">
        <v>48</v>
      </c>
      <c r="H73" s="3" t="s">
        <v>50</v>
      </c>
      <c r="I73" s="3" t="s">
        <v>35</v>
      </c>
      <c r="J73" s="3">
        <v>500.0</v>
      </c>
      <c r="L73" s="3">
        <v>1.0</v>
      </c>
      <c r="N73" s="13">
        <v>3990.0</v>
      </c>
      <c r="P73" s="4">
        <f t="shared" ref="P73:P74" si="11">N73*L73</f>
        <v>3990</v>
      </c>
    </row>
    <row r="74">
      <c r="A74" s="3">
        <v>2025.0</v>
      </c>
      <c r="B74" s="3" t="s">
        <v>61</v>
      </c>
      <c r="C74" s="1" t="s">
        <v>14</v>
      </c>
      <c r="F74" s="3" t="s">
        <v>26</v>
      </c>
      <c r="G74" s="3" t="s">
        <v>16</v>
      </c>
      <c r="H74" s="3" t="s">
        <v>20</v>
      </c>
      <c r="I74" s="3" t="s">
        <v>86</v>
      </c>
      <c r="J74" s="3">
        <v>900.0</v>
      </c>
      <c r="L74" s="3">
        <v>5.0</v>
      </c>
      <c r="N74" s="3">
        <v>3390.0</v>
      </c>
      <c r="P74" s="4">
        <f t="shared" si="11"/>
        <v>16950</v>
      </c>
    </row>
    <row r="75">
      <c r="A75" s="3">
        <v>2025.0</v>
      </c>
      <c r="B75" s="3" t="s">
        <v>61</v>
      </c>
      <c r="C75" s="1" t="s">
        <v>14</v>
      </c>
      <c r="F75" s="3" t="s">
        <v>26</v>
      </c>
      <c r="G75" s="3" t="s">
        <v>31</v>
      </c>
      <c r="H75" s="3" t="s">
        <v>87</v>
      </c>
      <c r="J75" s="3">
        <v>484.0</v>
      </c>
      <c r="N75" s="13">
        <v>5900.0</v>
      </c>
      <c r="P75" s="4">
        <f>N75*J75/1000</f>
        <v>2855.6</v>
      </c>
    </row>
    <row r="76">
      <c r="A76" s="3">
        <v>2025.0</v>
      </c>
      <c r="B76" s="3" t="s">
        <v>61</v>
      </c>
      <c r="C76" s="1" t="s">
        <v>14</v>
      </c>
      <c r="F76" s="3" t="s">
        <v>26</v>
      </c>
      <c r="G76" s="3" t="s">
        <v>48</v>
      </c>
      <c r="H76" s="3" t="s">
        <v>51</v>
      </c>
      <c r="I76" s="3" t="s">
        <v>35</v>
      </c>
      <c r="J76" s="3">
        <v>500.0</v>
      </c>
      <c r="L76" s="3">
        <v>1.0</v>
      </c>
      <c r="N76" s="13">
        <v>3590.0</v>
      </c>
      <c r="O76" s="11" t="str">
        <f>CHANGE(N23,N76)</f>
        <v>#NAME?</v>
      </c>
      <c r="P76" s="4">
        <f>N76*L76</f>
        <v>3590</v>
      </c>
    </row>
    <row r="77">
      <c r="A77" s="3">
        <v>2025.0</v>
      </c>
      <c r="B77" s="3" t="s">
        <v>61</v>
      </c>
      <c r="C77" s="1" t="s">
        <v>14</v>
      </c>
      <c r="F77" s="3" t="s">
        <v>26</v>
      </c>
      <c r="G77" s="3" t="s">
        <v>29</v>
      </c>
      <c r="H77" s="3" t="s">
        <v>88</v>
      </c>
      <c r="J77" s="3">
        <v>954.0</v>
      </c>
      <c r="N77" s="3">
        <v>1980.0</v>
      </c>
      <c r="P77" s="4">
        <f>N77*J77/1000</f>
        <v>1888.92</v>
      </c>
    </row>
    <row r="78">
      <c r="A78" s="3">
        <v>2025.0</v>
      </c>
      <c r="B78" s="3" t="s">
        <v>61</v>
      </c>
      <c r="C78" s="1" t="s">
        <v>14</v>
      </c>
      <c r="F78" s="3" t="s">
        <v>26</v>
      </c>
      <c r="G78" s="3" t="s">
        <v>89</v>
      </c>
      <c r="H78" s="3" t="s">
        <v>90</v>
      </c>
      <c r="I78" s="3" t="s">
        <v>91</v>
      </c>
      <c r="J78" s="3">
        <v>650.0</v>
      </c>
      <c r="L78" s="3">
        <v>1.0</v>
      </c>
      <c r="N78" s="3">
        <v>8850.0</v>
      </c>
      <c r="P78" s="4">
        <f>N78*L78</f>
        <v>8850</v>
      </c>
    </row>
    <row r="79">
      <c r="A79" s="3">
        <v>2025.0</v>
      </c>
      <c r="B79" s="3" t="s">
        <v>61</v>
      </c>
      <c r="C79" s="1" t="s">
        <v>14</v>
      </c>
      <c r="F79" s="3" t="s">
        <v>26</v>
      </c>
      <c r="G79" s="3" t="s">
        <v>31</v>
      </c>
      <c r="H79" s="3" t="s">
        <v>92</v>
      </c>
      <c r="J79" s="13">
        <v>1158.0</v>
      </c>
      <c r="N79" s="13">
        <v>2780.0</v>
      </c>
      <c r="P79" s="4">
        <f t="shared" ref="P79:P86" si="12">N79*J79/1000</f>
        <v>3219.24</v>
      </c>
    </row>
    <row r="80">
      <c r="A80" s="3">
        <v>2025.0</v>
      </c>
      <c r="B80" s="3" t="s">
        <v>61</v>
      </c>
      <c r="C80" s="1" t="s">
        <v>14</v>
      </c>
      <c r="F80" s="3" t="s">
        <v>26</v>
      </c>
      <c r="G80" s="3" t="s">
        <v>31</v>
      </c>
      <c r="H80" s="3" t="s">
        <v>93</v>
      </c>
      <c r="J80" s="13">
        <v>2138.0</v>
      </c>
      <c r="N80" s="3">
        <v>1980.0</v>
      </c>
      <c r="P80" s="4">
        <f t="shared" si="12"/>
        <v>4233.24</v>
      </c>
    </row>
    <row r="81">
      <c r="A81" s="3">
        <v>2025.0</v>
      </c>
      <c r="B81" s="3" t="s">
        <v>61</v>
      </c>
      <c r="C81" s="1" t="s">
        <v>14</v>
      </c>
      <c r="F81" s="3" t="s">
        <v>26</v>
      </c>
      <c r="G81" s="3" t="s">
        <v>33</v>
      </c>
      <c r="H81" s="3" t="s">
        <v>94</v>
      </c>
      <c r="I81" s="3" t="s">
        <v>26</v>
      </c>
      <c r="J81" s="13">
        <v>1230.0</v>
      </c>
      <c r="N81" s="13">
        <v>14780.0</v>
      </c>
      <c r="P81" s="4">
        <f t="shared" si="12"/>
        <v>18179.4</v>
      </c>
    </row>
    <row r="82">
      <c r="A82" s="3">
        <v>2025.0</v>
      </c>
      <c r="B82" s="3" t="s">
        <v>61</v>
      </c>
      <c r="C82" s="1" t="s">
        <v>14</v>
      </c>
      <c r="F82" s="3" t="s">
        <v>26</v>
      </c>
      <c r="G82" s="3" t="s">
        <v>31</v>
      </c>
      <c r="H82" s="3" t="s">
        <v>53</v>
      </c>
      <c r="J82" s="13">
        <f>1094+830</f>
        <v>1924</v>
      </c>
      <c r="N82" s="13">
        <v>2400.0</v>
      </c>
      <c r="P82" s="4">
        <f t="shared" si="12"/>
        <v>4617.6</v>
      </c>
    </row>
    <row r="83">
      <c r="A83" s="3">
        <v>2025.0</v>
      </c>
      <c r="B83" s="3" t="s">
        <v>61</v>
      </c>
      <c r="C83" s="1" t="s">
        <v>14</v>
      </c>
      <c r="F83" s="3" t="s">
        <v>26</v>
      </c>
      <c r="G83" s="3" t="s">
        <v>31</v>
      </c>
      <c r="H83" s="3" t="s">
        <v>54</v>
      </c>
      <c r="J83" s="13">
        <v>1010.0</v>
      </c>
      <c r="N83" s="13">
        <v>6200.0</v>
      </c>
      <c r="P83" s="4">
        <f t="shared" si="12"/>
        <v>6262</v>
      </c>
    </row>
    <row r="84">
      <c r="A84" s="3">
        <v>2025.0</v>
      </c>
      <c r="B84" s="3" t="s">
        <v>61</v>
      </c>
      <c r="C84" s="1" t="s">
        <v>14</v>
      </c>
      <c r="F84" s="3" t="s">
        <v>26</v>
      </c>
      <c r="G84" s="3" t="s">
        <v>31</v>
      </c>
      <c r="H84" s="3" t="s">
        <v>55</v>
      </c>
      <c r="J84" s="3">
        <v>1276.0</v>
      </c>
      <c r="N84" s="3">
        <v>2580.0</v>
      </c>
      <c r="P84" s="4">
        <f t="shared" si="12"/>
        <v>3292.08</v>
      </c>
    </row>
    <row r="85">
      <c r="A85" s="3">
        <v>2025.0</v>
      </c>
      <c r="B85" s="3" t="s">
        <v>61</v>
      </c>
      <c r="C85" s="1" t="s">
        <v>14</v>
      </c>
      <c r="F85" s="3" t="s">
        <v>26</v>
      </c>
      <c r="G85" s="3" t="s">
        <v>33</v>
      </c>
      <c r="H85" s="3" t="s">
        <v>56</v>
      </c>
      <c r="I85" s="3" t="s">
        <v>26</v>
      </c>
      <c r="J85" s="13">
        <v>2960.0</v>
      </c>
      <c r="K85" s="11" t="str">
        <f>CHANGE(J30,J85)</f>
        <v>#NAME?</v>
      </c>
      <c r="N85" s="13">
        <v>9400.0</v>
      </c>
      <c r="O85" s="11" t="str">
        <f>CHANGE(N30,N85)</f>
        <v>#NAME?</v>
      </c>
      <c r="P85" s="4">
        <f t="shared" si="12"/>
        <v>27824</v>
      </c>
    </row>
    <row r="86">
      <c r="A86" s="3">
        <v>2025.0</v>
      </c>
      <c r="B86" s="3" t="s">
        <v>61</v>
      </c>
      <c r="C86" s="1" t="s">
        <v>14</v>
      </c>
      <c r="F86" s="3" t="s">
        <v>26</v>
      </c>
      <c r="G86" s="3" t="s">
        <v>31</v>
      </c>
      <c r="H86" s="3" t="s">
        <v>57</v>
      </c>
      <c r="J86" s="3">
        <v>704.0</v>
      </c>
      <c r="N86" s="13">
        <v>2300.0</v>
      </c>
      <c r="P86" s="4">
        <f t="shared" si="12"/>
        <v>1619.2</v>
      </c>
    </row>
    <row r="87">
      <c r="A87" s="3">
        <v>2025.0</v>
      </c>
      <c r="B87" s="3" t="s">
        <v>61</v>
      </c>
      <c r="C87" s="1" t="s">
        <v>14</v>
      </c>
      <c r="F87" s="3" t="s">
        <v>26</v>
      </c>
      <c r="G87" s="3" t="s">
        <v>95</v>
      </c>
      <c r="H87" s="3" t="s">
        <v>96</v>
      </c>
      <c r="I87" s="3" t="s">
        <v>97</v>
      </c>
      <c r="J87" s="3">
        <v>500.0</v>
      </c>
      <c r="L87" s="3">
        <v>1.0</v>
      </c>
      <c r="N87" s="3">
        <v>1350.0</v>
      </c>
      <c r="P87" s="4">
        <f>N87*L87</f>
        <v>1350</v>
      </c>
    </row>
    <row r="88">
      <c r="A88" s="3">
        <v>2025.0</v>
      </c>
      <c r="B88" s="3" t="s">
        <v>61</v>
      </c>
      <c r="C88" s="1" t="s">
        <v>14</v>
      </c>
      <c r="F88" s="3" t="s">
        <v>26</v>
      </c>
      <c r="G88" s="3" t="s">
        <v>31</v>
      </c>
      <c r="H88" s="3" t="s">
        <v>58</v>
      </c>
      <c r="J88" s="13">
        <v>3460.0</v>
      </c>
      <c r="N88" s="13">
        <v>5980.0</v>
      </c>
      <c r="P88" s="4">
        <f>N88*J88/1000</f>
        <v>20690.8</v>
      </c>
    </row>
    <row r="89">
      <c r="A89" s="3">
        <v>2025.0</v>
      </c>
      <c r="B89" s="3" t="s">
        <v>61</v>
      </c>
      <c r="C89" s="1" t="s">
        <v>14</v>
      </c>
      <c r="F89" s="3" t="s">
        <v>26</v>
      </c>
      <c r="H89" s="3" t="s">
        <v>98</v>
      </c>
      <c r="J89" s="3">
        <v>55.0</v>
      </c>
      <c r="L89" s="3">
        <v>1.0</v>
      </c>
      <c r="N89" s="3">
        <v>1990.0</v>
      </c>
      <c r="P89" s="4">
        <f>N89*L89</f>
        <v>1990</v>
      </c>
    </row>
    <row r="90">
      <c r="A90" s="3">
        <v>2025.0</v>
      </c>
      <c r="B90" s="3" t="s">
        <v>61</v>
      </c>
      <c r="C90" s="1" t="s">
        <v>14</v>
      </c>
      <c r="F90" s="3" t="s">
        <v>26</v>
      </c>
      <c r="G90" s="3" t="s">
        <v>31</v>
      </c>
      <c r="H90" s="3" t="s">
        <v>59</v>
      </c>
      <c r="J90" s="3">
        <v>1094.0</v>
      </c>
      <c r="N90" s="13">
        <v>1980.0</v>
      </c>
      <c r="P90" s="4">
        <f>N90*J90/1000</f>
        <v>2166.12</v>
      </c>
    </row>
    <row r="91">
      <c r="A91" s="5" t="s">
        <v>12</v>
      </c>
      <c r="F91" s="6"/>
      <c r="G91" s="6"/>
      <c r="H91" s="6"/>
      <c r="I91" s="6"/>
      <c r="J91" s="6"/>
      <c r="K91" s="6"/>
      <c r="L91" s="6"/>
      <c r="M91" s="6"/>
      <c r="N91" s="6"/>
      <c r="O91" s="10" t="str">
        <f>CHANGE(P37,P91)</f>
        <v>#NAME?</v>
      </c>
      <c r="P91" s="7">
        <f>SUM(P57:P90)</f>
        <v>370733.8</v>
      </c>
    </row>
    <row r="92">
      <c r="A92" s="3">
        <v>2025.0</v>
      </c>
      <c r="B92" s="3" t="s">
        <v>99</v>
      </c>
      <c r="C92" s="1" t="s">
        <v>14</v>
      </c>
      <c r="F92" s="3" t="s">
        <v>26</v>
      </c>
      <c r="H92" s="3" t="s">
        <v>100</v>
      </c>
      <c r="I92" s="3" t="s">
        <v>37</v>
      </c>
      <c r="J92" s="3">
        <v>2500.0</v>
      </c>
      <c r="L92" s="3">
        <v>1.0</v>
      </c>
      <c r="N92" s="3">
        <v>8990.0</v>
      </c>
      <c r="P92" s="14">
        <f>L92*N92</f>
        <v>8990</v>
      </c>
    </row>
    <row r="93">
      <c r="A93" s="3">
        <v>2025.0</v>
      </c>
      <c r="B93" s="3" t="s">
        <v>99</v>
      </c>
      <c r="C93" s="1" t="s">
        <v>14</v>
      </c>
      <c r="F93" s="3" t="s">
        <v>26</v>
      </c>
      <c r="G93" s="3" t="s">
        <v>33</v>
      </c>
      <c r="H93" s="3" t="s">
        <v>56</v>
      </c>
      <c r="I93" s="3" t="s">
        <v>26</v>
      </c>
      <c r="J93" s="3">
        <v>2985.0</v>
      </c>
      <c r="N93" s="3">
        <v>10980.0</v>
      </c>
      <c r="P93" s="4">
        <f t="shared" ref="P93:P113" si="13">N93*J93/1000</f>
        <v>32775.3</v>
      </c>
    </row>
    <row r="94">
      <c r="A94" s="3">
        <v>2025.0</v>
      </c>
      <c r="B94" s="3" t="s">
        <v>99</v>
      </c>
      <c r="C94" s="1" t="s">
        <v>14</v>
      </c>
      <c r="F94" s="3" t="s">
        <v>26</v>
      </c>
      <c r="G94" s="3" t="s">
        <v>33</v>
      </c>
      <c r="H94" s="3" t="s">
        <v>94</v>
      </c>
      <c r="I94" s="3" t="s">
        <v>26</v>
      </c>
      <c r="J94" s="3">
        <v>1120.0</v>
      </c>
      <c r="N94" s="3">
        <v>19580.0</v>
      </c>
      <c r="P94" s="4">
        <f t="shared" si="13"/>
        <v>21929.6</v>
      </c>
    </row>
    <row r="95">
      <c r="A95" s="3">
        <v>2025.0</v>
      </c>
      <c r="B95" s="3" t="s">
        <v>99</v>
      </c>
      <c r="C95" s="1" t="s">
        <v>14</v>
      </c>
      <c r="F95" s="3" t="s">
        <v>26</v>
      </c>
      <c r="G95" s="3" t="s">
        <v>33</v>
      </c>
      <c r="H95" s="3" t="s">
        <v>84</v>
      </c>
      <c r="I95" s="3" t="s">
        <v>26</v>
      </c>
      <c r="J95" s="13">
        <v>870.0</v>
      </c>
      <c r="N95" s="3">
        <v>26380.0</v>
      </c>
      <c r="P95" s="4">
        <f t="shared" si="13"/>
        <v>22950.6</v>
      </c>
    </row>
    <row r="96">
      <c r="A96" s="3">
        <v>2025.0</v>
      </c>
      <c r="B96" s="3" t="s">
        <v>99</v>
      </c>
      <c r="C96" s="1" t="s">
        <v>14</v>
      </c>
      <c r="F96" s="3" t="s">
        <v>26</v>
      </c>
      <c r="G96" s="3" t="s">
        <v>33</v>
      </c>
      <c r="H96" s="3" t="s">
        <v>101</v>
      </c>
      <c r="I96" s="3" t="s">
        <v>26</v>
      </c>
      <c r="J96" s="3">
        <v>1438.0</v>
      </c>
      <c r="N96" s="3">
        <v>26980.0</v>
      </c>
      <c r="P96" s="4">
        <f t="shared" si="13"/>
        <v>38797.24</v>
      </c>
    </row>
    <row r="97">
      <c r="A97" s="3">
        <v>2025.0</v>
      </c>
      <c r="B97" s="3" t="s">
        <v>99</v>
      </c>
      <c r="C97" s="1" t="s">
        <v>14</v>
      </c>
      <c r="F97" s="3" t="s">
        <v>26</v>
      </c>
      <c r="G97" s="3" t="s">
        <v>33</v>
      </c>
      <c r="H97" s="3" t="s">
        <v>44</v>
      </c>
      <c r="I97" s="3" t="s">
        <v>26</v>
      </c>
      <c r="J97" s="3">
        <v>1212.0</v>
      </c>
      <c r="N97" s="3">
        <v>31980.0</v>
      </c>
      <c r="P97" s="4">
        <f t="shared" si="13"/>
        <v>38759.76</v>
      </c>
    </row>
    <row r="98">
      <c r="A98" s="3">
        <v>2025.0</v>
      </c>
      <c r="B98" s="3" t="s">
        <v>99</v>
      </c>
      <c r="C98" s="1" t="s">
        <v>14</v>
      </c>
      <c r="F98" s="3" t="s">
        <v>26</v>
      </c>
      <c r="G98" s="3" t="s">
        <v>33</v>
      </c>
      <c r="H98" s="3" t="s">
        <v>42</v>
      </c>
      <c r="I98" s="3" t="s">
        <v>26</v>
      </c>
      <c r="J98" s="3">
        <v>772.0</v>
      </c>
      <c r="N98" s="3">
        <v>17380.0</v>
      </c>
      <c r="P98" s="4">
        <f t="shared" si="13"/>
        <v>13417.36</v>
      </c>
    </row>
    <row r="99">
      <c r="A99" s="3">
        <v>2025.0</v>
      </c>
      <c r="B99" s="3" t="s">
        <v>99</v>
      </c>
      <c r="C99" s="1" t="s">
        <v>14</v>
      </c>
      <c r="F99" s="3" t="s">
        <v>26</v>
      </c>
      <c r="G99" s="3" t="s">
        <v>33</v>
      </c>
      <c r="H99" s="3" t="s">
        <v>41</v>
      </c>
      <c r="I99" s="3" t="s">
        <v>26</v>
      </c>
      <c r="J99" s="13">
        <v>1050.0</v>
      </c>
      <c r="N99" s="13">
        <v>8580.0</v>
      </c>
      <c r="P99" s="4">
        <f t="shared" si="13"/>
        <v>9009</v>
      </c>
    </row>
    <row r="100">
      <c r="A100" s="3">
        <v>2025.0</v>
      </c>
      <c r="B100" s="3" t="s">
        <v>99</v>
      </c>
      <c r="C100" s="1" t="s">
        <v>14</v>
      </c>
      <c r="F100" s="3" t="s">
        <v>26</v>
      </c>
      <c r="G100" s="3" t="s">
        <v>31</v>
      </c>
      <c r="H100" s="3" t="s">
        <v>93</v>
      </c>
      <c r="I100" s="3" t="s">
        <v>26</v>
      </c>
      <c r="J100" s="13">
        <v>2402.0</v>
      </c>
      <c r="N100" s="3">
        <v>1580.0</v>
      </c>
      <c r="P100" s="4">
        <f t="shared" si="13"/>
        <v>3795.16</v>
      </c>
    </row>
    <row r="101">
      <c r="A101" s="3">
        <v>2025.0</v>
      </c>
      <c r="B101" s="3" t="s">
        <v>99</v>
      </c>
      <c r="C101" s="1" t="s">
        <v>14</v>
      </c>
      <c r="F101" s="3" t="s">
        <v>26</v>
      </c>
      <c r="G101" s="3" t="s">
        <v>31</v>
      </c>
      <c r="H101" s="3" t="s">
        <v>46</v>
      </c>
      <c r="I101" s="3" t="s">
        <v>26</v>
      </c>
      <c r="J101" s="3">
        <v>3542.0</v>
      </c>
      <c r="N101" s="3">
        <v>3580.0</v>
      </c>
      <c r="P101" s="4">
        <f t="shared" si="13"/>
        <v>12680.36</v>
      </c>
    </row>
    <row r="102">
      <c r="A102" s="3">
        <v>2025.0</v>
      </c>
      <c r="B102" s="3" t="s">
        <v>99</v>
      </c>
      <c r="C102" s="1" t="s">
        <v>14</v>
      </c>
      <c r="F102" s="3" t="s">
        <v>26</v>
      </c>
      <c r="G102" s="3" t="s">
        <v>31</v>
      </c>
      <c r="H102" s="3" t="s">
        <v>58</v>
      </c>
      <c r="I102" s="3" t="s">
        <v>26</v>
      </c>
      <c r="J102" s="3">
        <v>4515.0</v>
      </c>
      <c r="N102" s="3">
        <v>4980.0</v>
      </c>
      <c r="P102" s="4">
        <f t="shared" si="13"/>
        <v>22484.7</v>
      </c>
    </row>
    <row r="103">
      <c r="A103" s="3">
        <v>2025.0</v>
      </c>
      <c r="B103" s="3" t="s">
        <v>99</v>
      </c>
      <c r="C103" s="1" t="s">
        <v>14</v>
      </c>
      <c r="F103" s="3" t="s">
        <v>26</v>
      </c>
      <c r="G103" s="3" t="s">
        <v>31</v>
      </c>
      <c r="H103" s="3" t="s">
        <v>59</v>
      </c>
      <c r="I103" s="3" t="s">
        <v>26</v>
      </c>
      <c r="J103" s="3">
        <v>2102.0</v>
      </c>
      <c r="N103" s="13">
        <v>2580.0</v>
      </c>
      <c r="P103" s="4">
        <f t="shared" si="13"/>
        <v>5423.16</v>
      </c>
    </row>
    <row r="104">
      <c r="A104" s="3">
        <v>2025.0</v>
      </c>
      <c r="B104" s="3" t="s">
        <v>99</v>
      </c>
      <c r="C104" s="1" t="s">
        <v>14</v>
      </c>
      <c r="F104" s="3" t="s">
        <v>26</v>
      </c>
      <c r="G104" s="3" t="s">
        <v>29</v>
      </c>
      <c r="H104" s="3" t="s">
        <v>81</v>
      </c>
      <c r="I104" s="3" t="s">
        <v>26</v>
      </c>
      <c r="J104" s="13">
        <v>2128.0</v>
      </c>
      <c r="N104" s="13">
        <v>3100.0</v>
      </c>
      <c r="P104" s="4">
        <f t="shared" si="13"/>
        <v>6596.8</v>
      </c>
    </row>
    <row r="105">
      <c r="A105" s="3">
        <v>2025.0</v>
      </c>
      <c r="B105" s="3" t="s">
        <v>99</v>
      </c>
      <c r="C105" s="1" t="s">
        <v>14</v>
      </c>
      <c r="F105" s="3" t="s">
        <v>26</v>
      </c>
      <c r="G105" s="3" t="s">
        <v>31</v>
      </c>
      <c r="H105" s="3" t="s">
        <v>82</v>
      </c>
      <c r="I105" s="3" t="s">
        <v>26</v>
      </c>
      <c r="J105" s="13">
        <v>1040.0</v>
      </c>
      <c r="N105" s="13">
        <v>7980.0</v>
      </c>
      <c r="P105" s="4">
        <f t="shared" si="13"/>
        <v>8299.2</v>
      </c>
    </row>
    <row r="106">
      <c r="A106" s="3">
        <v>2025.0</v>
      </c>
      <c r="B106" s="3" t="s">
        <v>99</v>
      </c>
      <c r="C106" s="1" t="s">
        <v>14</v>
      </c>
      <c r="F106" s="3" t="s">
        <v>26</v>
      </c>
      <c r="G106" s="3" t="s">
        <v>31</v>
      </c>
      <c r="H106" s="3" t="s">
        <v>54</v>
      </c>
      <c r="I106" s="3" t="s">
        <v>26</v>
      </c>
      <c r="J106" s="3">
        <v>996.0</v>
      </c>
      <c r="K106" s="3"/>
      <c r="N106" s="3">
        <v>2980.0</v>
      </c>
      <c r="P106" s="4">
        <f t="shared" si="13"/>
        <v>2968.08</v>
      </c>
    </row>
    <row r="107">
      <c r="A107" s="3">
        <v>2025.0</v>
      </c>
      <c r="B107" s="3" t="s">
        <v>99</v>
      </c>
      <c r="C107" s="1" t="s">
        <v>14</v>
      </c>
      <c r="F107" s="3" t="s">
        <v>26</v>
      </c>
      <c r="G107" s="3" t="s">
        <v>31</v>
      </c>
      <c r="H107" s="3" t="s">
        <v>53</v>
      </c>
      <c r="I107" s="3" t="s">
        <v>26</v>
      </c>
      <c r="J107" s="3">
        <v>2030.0</v>
      </c>
      <c r="K107" s="3"/>
      <c r="N107" s="3">
        <v>1980.0</v>
      </c>
      <c r="P107" s="4">
        <f t="shared" si="13"/>
        <v>4019.4</v>
      </c>
    </row>
    <row r="108">
      <c r="A108" s="3">
        <v>2025.0</v>
      </c>
      <c r="B108" s="3" t="s">
        <v>99</v>
      </c>
      <c r="C108" s="1" t="s">
        <v>14</v>
      </c>
      <c r="F108" s="3" t="s">
        <v>26</v>
      </c>
      <c r="G108" s="3" t="s">
        <v>31</v>
      </c>
      <c r="H108" s="3" t="s">
        <v>55</v>
      </c>
      <c r="I108" s="3" t="s">
        <v>26</v>
      </c>
      <c r="J108" s="3">
        <v>1652.0</v>
      </c>
      <c r="K108" s="3"/>
      <c r="N108" s="3">
        <v>2780.0</v>
      </c>
      <c r="P108" s="4">
        <f t="shared" si="13"/>
        <v>4592.56</v>
      </c>
    </row>
    <row r="109">
      <c r="A109" s="3">
        <v>2025.0</v>
      </c>
      <c r="B109" s="3" t="s">
        <v>99</v>
      </c>
      <c r="C109" s="1" t="s">
        <v>14</v>
      </c>
      <c r="F109" s="3" t="s">
        <v>26</v>
      </c>
      <c r="G109" s="3" t="s">
        <v>29</v>
      </c>
      <c r="H109" s="3" t="s">
        <v>52</v>
      </c>
      <c r="I109" s="3" t="s">
        <v>26</v>
      </c>
      <c r="J109" s="3">
        <v>850.0</v>
      </c>
      <c r="K109" s="3"/>
      <c r="N109" s="3">
        <v>3580.0</v>
      </c>
      <c r="P109" s="4">
        <f t="shared" si="13"/>
        <v>3043</v>
      </c>
    </row>
    <row r="110">
      <c r="A110" s="3">
        <v>2025.0</v>
      </c>
      <c r="B110" s="3" t="s">
        <v>99</v>
      </c>
      <c r="C110" s="1" t="s">
        <v>14</v>
      </c>
      <c r="F110" s="3" t="s">
        <v>26</v>
      </c>
      <c r="G110" s="3" t="s">
        <v>31</v>
      </c>
      <c r="H110" s="3" t="s">
        <v>102</v>
      </c>
      <c r="I110" s="3" t="s">
        <v>26</v>
      </c>
      <c r="J110" s="3">
        <v>954.0</v>
      </c>
      <c r="N110" s="3">
        <v>2300.0</v>
      </c>
      <c r="P110" s="4">
        <f t="shared" si="13"/>
        <v>2194.2</v>
      </c>
    </row>
    <row r="111">
      <c r="A111" s="3">
        <v>2025.0</v>
      </c>
      <c r="B111" s="3" t="s">
        <v>99</v>
      </c>
      <c r="C111" s="1" t="s">
        <v>14</v>
      </c>
      <c r="F111" s="3" t="s">
        <v>26</v>
      </c>
      <c r="G111" s="3" t="s">
        <v>31</v>
      </c>
      <c r="H111" s="3" t="s">
        <v>103</v>
      </c>
      <c r="I111" s="3" t="s">
        <v>26</v>
      </c>
      <c r="J111" s="3">
        <v>420.0</v>
      </c>
      <c r="N111" s="3">
        <v>8580.0</v>
      </c>
      <c r="P111" s="4">
        <f t="shared" si="13"/>
        <v>3603.6</v>
      </c>
    </row>
    <row r="112">
      <c r="A112" s="3">
        <v>2025.0</v>
      </c>
      <c r="B112" s="3" t="s">
        <v>99</v>
      </c>
      <c r="C112" s="1" t="s">
        <v>14</v>
      </c>
      <c r="F112" s="3" t="s">
        <v>26</v>
      </c>
      <c r="G112" s="3" t="s">
        <v>31</v>
      </c>
      <c r="H112" s="3" t="s">
        <v>87</v>
      </c>
      <c r="I112" s="3" t="s">
        <v>26</v>
      </c>
      <c r="J112" s="3">
        <v>498.0</v>
      </c>
      <c r="N112" s="13">
        <v>4480.0</v>
      </c>
      <c r="P112" s="4">
        <f t="shared" si="13"/>
        <v>2231.04</v>
      </c>
    </row>
    <row r="113">
      <c r="A113" s="3">
        <v>2025.0</v>
      </c>
      <c r="B113" s="3" t="s">
        <v>99</v>
      </c>
      <c r="C113" s="1" t="s">
        <v>14</v>
      </c>
      <c r="F113" s="3" t="s">
        <v>26</v>
      </c>
      <c r="G113" s="3" t="s">
        <v>31</v>
      </c>
      <c r="H113" s="3" t="s">
        <v>57</v>
      </c>
      <c r="I113" s="3" t="s">
        <v>26</v>
      </c>
      <c r="J113" s="3">
        <v>788.0</v>
      </c>
      <c r="K113" s="3"/>
      <c r="N113" s="3">
        <v>5180.0</v>
      </c>
      <c r="P113" s="4">
        <f t="shared" si="13"/>
        <v>4081.84</v>
      </c>
    </row>
    <row r="114">
      <c r="A114" s="3">
        <v>2025.0</v>
      </c>
      <c r="B114" s="3" t="s">
        <v>99</v>
      </c>
      <c r="C114" s="1" t="s">
        <v>14</v>
      </c>
      <c r="F114" s="3" t="s">
        <v>26</v>
      </c>
      <c r="G114" s="3" t="s">
        <v>16</v>
      </c>
      <c r="H114" s="3" t="s">
        <v>104</v>
      </c>
      <c r="I114" s="3" t="s">
        <v>105</v>
      </c>
      <c r="J114" s="3">
        <v>6000.0</v>
      </c>
      <c r="L114" s="3">
        <v>1.0</v>
      </c>
      <c r="N114" s="3">
        <v>20990.0</v>
      </c>
      <c r="P114" s="14">
        <f t="shared" ref="P114:P121" si="14">N114*L114</f>
        <v>20990</v>
      </c>
    </row>
    <row r="115">
      <c r="A115" s="3">
        <v>2025.0</v>
      </c>
      <c r="B115" s="3" t="s">
        <v>99</v>
      </c>
      <c r="C115" s="1" t="s">
        <v>14</v>
      </c>
      <c r="F115" s="3" t="s">
        <v>26</v>
      </c>
      <c r="G115" s="3" t="s">
        <v>89</v>
      </c>
      <c r="H115" s="3" t="s">
        <v>106</v>
      </c>
      <c r="I115" s="3" t="s">
        <v>107</v>
      </c>
      <c r="J115" s="3">
        <v>650.0</v>
      </c>
      <c r="L115" s="3">
        <v>1.0</v>
      </c>
      <c r="N115" s="3">
        <v>8850.0</v>
      </c>
      <c r="P115" s="14">
        <f t="shared" si="14"/>
        <v>8850</v>
      </c>
    </row>
    <row r="116">
      <c r="A116" s="3">
        <v>2025.0</v>
      </c>
      <c r="B116" s="3" t="s">
        <v>99</v>
      </c>
      <c r="C116" s="1" t="s">
        <v>14</v>
      </c>
      <c r="F116" s="3" t="s">
        <v>26</v>
      </c>
      <c r="G116" s="3" t="s">
        <v>95</v>
      </c>
      <c r="H116" s="3" t="s">
        <v>96</v>
      </c>
      <c r="I116" s="3" t="s">
        <v>97</v>
      </c>
      <c r="J116" s="3">
        <v>1000.0</v>
      </c>
      <c r="L116" s="3">
        <v>1.0</v>
      </c>
      <c r="N116" s="3">
        <v>2650.0</v>
      </c>
      <c r="P116" s="4">
        <f t="shared" si="14"/>
        <v>2650</v>
      </c>
      <c r="Q116" s="4"/>
    </row>
    <row r="117">
      <c r="A117" s="3">
        <v>2025.0</v>
      </c>
      <c r="B117" s="3" t="s">
        <v>99</v>
      </c>
      <c r="C117" s="1" t="s">
        <v>14</v>
      </c>
      <c r="F117" s="3" t="s">
        <v>26</v>
      </c>
      <c r="G117" s="3" t="s">
        <v>48</v>
      </c>
      <c r="H117" s="3" t="s">
        <v>50</v>
      </c>
      <c r="I117" s="3" t="s">
        <v>35</v>
      </c>
      <c r="J117" s="3">
        <v>500.0</v>
      </c>
      <c r="K117" s="3"/>
      <c r="L117" s="3">
        <v>1.0</v>
      </c>
      <c r="M117" s="3"/>
      <c r="N117" s="3">
        <v>4390.0</v>
      </c>
      <c r="P117" s="4">
        <f t="shared" si="14"/>
        <v>4390</v>
      </c>
    </row>
    <row r="118">
      <c r="A118" s="3">
        <v>2025.0</v>
      </c>
      <c r="B118" s="3" t="s">
        <v>99</v>
      </c>
      <c r="C118" s="1" t="s">
        <v>14</v>
      </c>
      <c r="F118" s="3" t="s">
        <v>26</v>
      </c>
      <c r="G118" s="3" t="s">
        <v>38</v>
      </c>
      <c r="H118" s="3" t="s">
        <v>39</v>
      </c>
      <c r="I118" s="3" t="s">
        <v>40</v>
      </c>
      <c r="J118" s="3">
        <v>400.0</v>
      </c>
      <c r="K118" s="3"/>
      <c r="L118" s="3">
        <v>1.0</v>
      </c>
      <c r="M118" s="3"/>
      <c r="N118" s="3">
        <v>21990.0</v>
      </c>
      <c r="P118" s="4">
        <f t="shared" si="14"/>
        <v>21990</v>
      </c>
    </row>
    <row r="119">
      <c r="A119" s="3">
        <v>2025.0</v>
      </c>
      <c r="B119" s="3" t="s">
        <v>99</v>
      </c>
      <c r="C119" s="1" t="s">
        <v>14</v>
      </c>
      <c r="F119" s="3" t="s">
        <v>26</v>
      </c>
      <c r="G119" s="3" t="s">
        <v>108</v>
      </c>
      <c r="H119" s="3" t="s">
        <v>98</v>
      </c>
      <c r="J119" s="3">
        <v>55.0</v>
      </c>
      <c r="L119" s="3">
        <v>1.0</v>
      </c>
      <c r="N119" s="3">
        <v>1990.0</v>
      </c>
      <c r="P119" s="4">
        <f t="shared" si="14"/>
        <v>1990</v>
      </c>
    </row>
    <row r="120">
      <c r="A120" s="3">
        <v>2025.0</v>
      </c>
      <c r="B120" s="3" t="s">
        <v>99</v>
      </c>
      <c r="C120" s="1" t="s">
        <v>14</v>
      </c>
      <c r="F120" s="3" t="s">
        <v>26</v>
      </c>
      <c r="G120" s="3" t="s">
        <v>48</v>
      </c>
      <c r="H120" s="3" t="s">
        <v>49</v>
      </c>
      <c r="I120" s="3" t="s">
        <v>35</v>
      </c>
      <c r="J120" s="3">
        <v>500.0</v>
      </c>
      <c r="K120" s="3"/>
      <c r="L120" s="3">
        <v>1.0</v>
      </c>
      <c r="M120" s="3"/>
      <c r="N120" s="3">
        <v>3550.0</v>
      </c>
      <c r="P120" s="4">
        <f t="shared" si="14"/>
        <v>3550</v>
      </c>
    </row>
    <row r="121">
      <c r="A121" s="3">
        <v>2025.0</v>
      </c>
      <c r="B121" s="3" t="s">
        <v>99</v>
      </c>
      <c r="C121" s="1" t="s">
        <v>14</v>
      </c>
      <c r="F121" s="3" t="s">
        <v>26</v>
      </c>
      <c r="G121" s="3" t="s">
        <v>27</v>
      </c>
      <c r="H121" s="3" t="s">
        <v>28</v>
      </c>
      <c r="I121" s="3" t="s">
        <v>26</v>
      </c>
      <c r="J121" s="3">
        <v>1800.0</v>
      </c>
      <c r="K121" s="3"/>
      <c r="L121" s="3">
        <v>1.0</v>
      </c>
      <c r="M121" s="3"/>
      <c r="N121" s="3">
        <v>14350.0</v>
      </c>
      <c r="P121" s="4">
        <f t="shared" si="14"/>
        <v>14350</v>
      </c>
    </row>
    <row r="122">
      <c r="A122" s="5" t="s">
        <v>12</v>
      </c>
      <c r="F122" s="6"/>
      <c r="G122" s="6"/>
      <c r="H122" s="6"/>
      <c r="I122" s="6"/>
      <c r="J122" s="6"/>
      <c r="K122" s="6"/>
      <c r="L122" s="6"/>
      <c r="M122" s="6"/>
      <c r="N122" s="6"/>
      <c r="O122" s="10" t="str">
        <f>CHANGE(P68,P122)</f>
        <v>#NAME?</v>
      </c>
      <c r="P122" s="7">
        <f>SUM(P92:P121)</f>
        <v>351401.96</v>
      </c>
    </row>
    <row r="123">
      <c r="A123" s="3">
        <v>2025.0</v>
      </c>
      <c r="B123" s="3" t="s">
        <v>99</v>
      </c>
      <c r="C123" s="1" t="s">
        <v>109</v>
      </c>
      <c r="F123" s="3" t="s">
        <v>26</v>
      </c>
      <c r="G123" s="3" t="s">
        <v>33</v>
      </c>
      <c r="H123" s="3" t="s">
        <v>42</v>
      </c>
      <c r="I123" s="3" t="s">
        <v>26</v>
      </c>
      <c r="J123" s="3">
        <v>1374.0</v>
      </c>
      <c r="K123" s="3"/>
      <c r="N123" s="3">
        <v>15980.0</v>
      </c>
      <c r="P123" s="4">
        <f t="shared" ref="P123:P145" si="15">N123*J123/1000</f>
        <v>21956.52</v>
      </c>
    </row>
    <row r="124">
      <c r="A124" s="3">
        <v>2025.0</v>
      </c>
      <c r="B124" s="3" t="s">
        <v>99</v>
      </c>
      <c r="C124" s="1" t="s">
        <v>109</v>
      </c>
      <c r="F124" s="3" t="s">
        <v>26</v>
      </c>
      <c r="G124" s="3" t="s">
        <v>33</v>
      </c>
      <c r="H124" s="3" t="s">
        <v>44</v>
      </c>
      <c r="I124" s="3" t="s">
        <v>26</v>
      </c>
      <c r="J124" s="3">
        <v>1584.0</v>
      </c>
      <c r="K124" s="3"/>
      <c r="N124" s="3">
        <v>32580.0</v>
      </c>
      <c r="P124" s="4">
        <f t="shared" si="15"/>
        <v>51606.72</v>
      </c>
    </row>
    <row r="125">
      <c r="A125" s="3">
        <v>2025.0</v>
      </c>
      <c r="B125" s="3" t="s">
        <v>99</v>
      </c>
      <c r="C125" s="1" t="s">
        <v>109</v>
      </c>
      <c r="F125" s="3" t="s">
        <v>26</v>
      </c>
      <c r="G125" s="3" t="s">
        <v>33</v>
      </c>
      <c r="H125" s="3" t="s">
        <v>83</v>
      </c>
      <c r="I125" s="3" t="s">
        <v>26</v>
      </c>
      <c r="J125" s="13">
        <v>992.0</v>
      </c>
      <c r="N125" s="13">
        <v>15700.0</v>
      </c>
      <c r="P125" s="4">
        <f t="shared" si="15"/>
        <v>15574.4</v>
      </c>
    </row>
    <row r="126">
      <c r="A126" s="3">
        <v>2025.0</v>
      </c>
      <c r="B126" s="3" t="s">
        <v>99</v>
      </c>
      <c r="C126" s="1" t="s">
        <v>109</v>
      </c>
      <c r="F126" s="3" t="s">
        <v>26</v>
      </c>
      <c r="G126" s="3" t="s">
        <v>33</v>
      </c>
      <c r="H126" s="3" t="s">
        <v>101</v>
      </c>
      <c r="I126" s="3" t="s">
        <v>26</v>
      </c>
      <c r="J126" s="3">
        <v>1324.0</v>
      </c>
      <c r="N126" s="3">
        <v>26980.0</v>
      </c>
      <c r="P126" s="4">
        <f t="shared" si="15"/>
        <v>35721.52</v>
      </c>
    </row>
    <row r="127">
      <c r="A127" s="3">
        <v>2025.0</v>
      </c>
      <c r="B127" s="3" t="s">
        <v>99</v>
      </c>
      <c r="C127" s="1" t="s">
        <v>109</v>
      </c>
      <c r="F127" s="3" t="s">
        <v>26</v>
      </c>
      <c r="G127" s="3" t="s">
        <v>33</v>
      </c>
      <c r="H127" s="3" t="s">
        <v>84</v>
      </c>
      <c r="I127" s="3" t="s">
        <v>26</v>
      </c>
      <c r="J127" s="13">
        <v>1172.0</v>
      </c>
      <c r="L127" s="3"/>
      <c r="N127" s="13">
        <v>26380.0</v>
      </c>
      <c r="P127" s="4">
        <f t="shared" si="15"/>
        <v>30917.36</v>
      </c>
    </row>
    <row r="128">
      <c r="A128" s="3">
        <v>2025.0</v>
      </c>
      <c r="B128" s="3" t="s">
        <v>99</v>
      </c>
      <c r="C128" s="1" t="s">
        <v>109</v>
      </c>
      <c r="F128" s="3" t="s">
        <v>26</v>
      </c>
      <c r="G128" s="3" t="s">
        <v>33</v>
      </c>
      <c r="H128" s="3" t="s">
        <v>56</v>
      </c>
      <c r="I128" s="3" t="s">
        <v>26</v>
      </c>
      <c r="J128" s="3">
        <v>2715.0</v>
      </c>
      <c r="K128" s="3"/>
      <c r="N128" s="3">
        <v>10980.0</v>
      </c>
      <c r="P128" s="4">
        <f t="shared" si="15"/>
        <v>29810.7</v>
      </c>
    </row>
    <row r="129">
      <c r="A129" s="3">
        <v>2025.0</v>
      </c>
      <c r="B129" s="3" t="s">
        <v>99</v>
      </c>
      <c r="C129" s="1" t="s">
        <v>109</v>
      </c>
      <c r="F129" s="3" t="s">
        <v>26</v>
      </c>
      <c r="G129" s="3" t="s">
        <v>33</v>
      </c>
      <c r="H129" s="3" t="s">
        <v>94</v>
      </c>
      <c r="I129" s="3" t="s">
        <v>26</v>
      </c>
      <c r="J129" s="13">
        <v>995.0</v>
      </c>
      <c r="N129" s="13">
        <v>11980.0</v>
      </c>
      <c r="P129" s="4">
        <f t="shared" si="15"/>
        <v>11920.1</v>
      </c>
    </row>
    <row r="130">
      <c r="A130" s="3">
        <v>2025.0</v>
      </c>
      <c r="B130" s="3" t="s">
        <v>99</v>
      </c>
      <c r="C130" s="1" t="s">
        <v>109</v>
      </c>
      <c r="F130" s="3" t="s">
        <v>26</v>
      </c>
      <c r="G130" s="3" t="s">
        <v>31</v>
      </c>
      <c r="H130" s="3" t="s">
        <v>92</v>
      </c>
      <c r="I130" s="3" t="s">
        <v>26</v>
      </c>
      <c r="J130" s="13">
        <v>1365.0</v>
      </c>
      <c r="N130" s="13">
        <v>3880.0</v>
      </c>
      <c r="P130" s="4">
        <f t="shared" si="15"/>
        <v>5296.2</v>
      </c>
    </row>
    <row r="131">
      <c r="A131" s="3">
        <v>2025.0</v>
      </c>
      <c r="B131" s="3" t="s">
        <v>99</v>
      </c>
      <c r="C131" s="1" t="s">
        <v>109</v>
      </c>
      <c r="F131" s="3" t="s">
        <v>26</v>
      </c>
      <c r="G131" s="3" t="s">
        <v>29</v>
      </c>
      <c r="H131" s="3" t="s">
        <v>81</v>
      </c>
      <c r="I131" s="3" t="s">
        <v>26</v>
      </c>
      <c r="J131" s="13">
        <v>2560.0</v>
      </c>
      <c r="N131" s="13">
        <v>3380.0</v>
      </c>
      <c r="P131" s="4">
        <f t="shared" si="15"/>
        <v>8652.8</v>
      </c>
    </row>
    <row r="132">
      <c r="A132" s="3">
        <v>2025.0</v>
      </c>
      <c r="B132" s="3" t="s">
        <v>99</v>
      </c>
      <c r="C132" s="1" t="s">
        <v>109</v>
      </c>
      <c r="F132" s="3" t="s">
        <v>26</v>
      </c>
      <c r="G132" s="3" t="s">
        <v>31</v>
      </c>
      <c r="H132" s="3" t="s">
        <v>55</v>
      </c>
      <c r="I132" s="3" t="s">
        <v>26</v>
      </c>
      <c r="J132" s="3">
        <v>1410.0</v>
      </c>
      <c r="K132" s="3"/>
      <c r="N132" s="3">
        <v>2780.0</v>
      </c>
      <c r="P132" s="4">
        <f t="shared" si="15"/>
        <v>3919.8</v>
      </c>
    </row>
    <row r="133">
      <c r="A133" s="3">
        <v>2025.0</v>
      </c>
      <c r="B133" s="3" t="s">
        <v>99</v>
      </c>
      <c r="C133" s="1" t="s">
        <v>109</v>
      </c>
      <c r="F133" s="3" t="s">
        <v>26</v>
      </c>
      <c r="G133" s="3" t="s">
        <v>31</v>
      </c>
      <c r="H133" s="3" t="s">
        <v>110</v>
      </c>
      <c r="I133" s="3" t="s">
        <v>26</v>
      </c>
      <c r="J133" s="3">
        <v>405.0</v>
      </c>
      <c r="N133" s="3">
        <v>3580.0</v>
      </c>
      <c r="P133" s="4">
        <f t="shared" si="15"/>
        <v>1449.9</v>
      </c>
    </row>
    <row r="134">
      <c r="A134" s="3">
        <v>2025.0</v>
      </c>
      <c r="B134" s="3" t="s">
        <v>99</v>
      </c>
      <c r="C134" s="1" t="s">
        <v>109</v>
      </c>
      <c r="F134" s="3" t="s">
        <v>26</v>
      </c>
      <c r="G134" s="3" t="s">
        <v>31</v>
      </c>
      <c r="H134" s="3" t="s">
        <v>111</v>
      </c>
      <c r="I134" s="3" t="s">
        <v>26</v>
      </c>
      <c r="J134" s="3">
        <v>965.0</v>
      </c>
      <c r="N134" s="3">
        <v>4580.0</v>
      </c>
      <c r="P134" s="4">
        <f t="shared" si="15"/>
        <v>4419.7</v>
      </c>
    </row>
    <row r="135">
      <c r="A135" s="3">
        <v>2025.0</v>
      </c>
      <c r="B135" s="3" t="s">
        <v>99</v>
      </c>
      <c r="C135" s="1" t="s">
        <v>109</v>
      </c>
      <c r="F135" s="3" t="s">
        <v>26</v>
      </c>
      <c r="G135" s="3" t="s">
        <v>31</v>
      </c>
      <c r="H135" s="3" t="s">
        <v>87</v>
      </c>
      <c r="I135" s="3" t="s">
        <v>26</v>
      </c>
      <c r="J135" s="3">
        <v>880.0</v>
      </c>
      <c r="N135" s="13">
        <v>4000.0</v>
      </c>
      <c r="P135" s="4">
        <f t="shared" si="15"/>
        <v>3520</v>
      </c>
    </row>
    <row r="136">
      <c r="A136" s="3">
        <v>2025.0</v>
      </c>
      <c r="B136" s="3" t="s">
        <v>99</v>
      </c>
      <c r="C136" s="1" t="s">
        <v>109</v>
      </c>
      <c r="F136" s="3" t="s">
        <v>26</v>
      </c>
      <c r="G136" s="15" t="s">
        <v>31</v>
      </c>
      <c r="H136" s="15" t="s">
        <v>54</v>
      </c>
      <c r="I136" s="15" t="s">
        <v>26</v>
      </c>
      <c r="J136" s="16">
        <v>530.0</v>
      </c>
      <c r="K136" s="15"/>
      <c r="L136" s="15"/>
      <c r="M136" s="15"/>
      <c r="N136" s="16">
        <v>3380.0</v>
      </c>
      <c r="O136" s="15"/>
      <c r="P136" s="17">
        <f t="shared" si="15"/>
        <v>1791.4</v>
      </c>
    </row>
    <row r="137">
      <c r="A137" s="3">
        <v>2025.0</v>
      </c>
      <c r="B137" s="3" t="s">
        <v>99</v>
      </c>
      <c r="C137" s="1" t="s">
        <v>109</v>
      </c>
      <c r="F137" s="3" t="s">
        <v>26</v>
      </c>
      <c r="G137" s="15" t="s">
        <v>31</v>
      </c>
      <c r="H137" s="15" t="s">
        <v>54</v>
      </c>
      <c r="I137" s="15" t="s">
        <v>26</v>
      </c>
      <c r="J137" s="16">
        <v>630.0</v>
      </c>
      <c r="K137" s="15"/>
      <c r="L137" s="15"/>
      <c r="M137" s="15"/>
      <c r="N137" s="16">
        <v>3380.0</v>
      </c>
      <c r="O137" s="15"/>
      <c r="P137" s="17">
        <f t="shared" si="15"/>
        <v>2129.4</v>
      </c>
    </row>
    <row r="138">
      <c r="A138" s="3">
        <v>2025.0</v>
      </c>
      <c r="B138" s="3" t="s">
        <v>99</v>
      </c>
      <c r="C138" s="1" t="s">
        <v>109</v>
      </c>
      <c r="F138" s="3" t="s">
        <v>26</v>
      </c>
      <c r="G138" s="3" t="s">
        <v>31</v>
      </c>
      <c r="H138" s="3" t="s">
        <v>46</v>
      </c>
      <c r="I138" s="3" t="s">
        <v>26</v>
      </c>
      <c r="J138" s="3">
        <v>3455.0</v>
      </c>
      <c r="K138" s="3"/>
      <c r="N138" s="3">
        <v>3380.0</v>
      </c>
      <c r="P138" s="4">
        <f t="shared" si="15"/>
        <v>11677.9</v>
      </c>
    </row>
    <row r="139">
      <c r="A139" s="3">
        <v>2025.0</v>
      </c>
      <c r="B139" s="3" t="s">
        <v>99</v>
      </c>
      <c r="C139" s="1" t="s">
        <v>109</v>
      </c>
      <c r="F139" s="3" t="s">
        <v>26</v>
      </c>
      <c r="G139" s="3" t="s">
        <v>31</v>
      </c>
      <c r="H139" s="3" t="s">
        <v>112</v>
      </c>
      <c r="I139" s="3" t="s">
        <v>26</v>
      </c>
      <c r="J139" s="3">
        <v>225.0</v>
      </c>
      <c r="N139" s="3">
        <v>5980.0</v>
      </c>
      <c r="P139" s="4">
        <f t="shared" si="15"/>
        <v>1345.5</v>
      </c>
    </row>
    <row r="140">
      <c r="A140" s="3">
        <v>2025.0</v>
      </c>
      <c r="B140" s="3" t="s">
        <v>99</v>
      </c>
      <c r="C140" s="1" t="s">
        <v>109</v>
      </c>
      <c r="F140" s="3" t="s">
        <v>26</v>
      </c>
      <c r="G140" s="3" t="s">
        <v>31</v>
      </c>
      <c r="H140" s="3" t="s">
        <v>57</v>
      </c>
      <c r="I140" s="3" t="s">
        <v>26</v>
      </c>
      <c r="J140" s="3">
        <v>1070.0</v>
      </c>
      <c r="K140" s="3"/>
      <c r="N140" s="3">
        <v>5980.0</v>
      </c>
      <c r="P140" s="4">
        <f t="shared" si="15"/>
        <v>6398.6</v>
      </c>
    </row>
    <row r="141">
      <c r="A141" s="3">
        <v>2025.0</v>
      </c>
      <c r="B141" s="3" t="s">
        <v>99</v>
      </c>
      <c r="C141" s="1" t="s">
        <v>109</v>
      </c>
      <c r="F141" s="3" t="s">
        <v>26</v>
      </c>
      <c r="G141" s="3" t="s">
        <v>31</v>
      </c>
      <c r="H141" s="3" t="s">
        <v>58</v>
      </c>
      <c r="I141" s="3" t="s">
        <v>26</v>
      </c>
      <c r="J141" s="3">
        <v>3365.0</v>
      </c>
      <c r="K141" s="3"/>
      <c r="N141" s="3">
        <v>4980.0</v>
      </c>
      <c r="P141" s="4">
        <f t="shared" si="15"/>
        <v>16757.7</v>
      </c>
    </row>
    <row r="142">
      <c r="A142" s="3">
        <v>2025.0</v>
      </c>
      <c r="B142" s="3" t="s">
        <v>99</v>
      </c>
      <c r="C142" s="1" t="s">
        <v>109</v>
      </c>
      <c r="F142" s="3" t="s">
        <v>26</v>
      </c>
      <c r="G142" s="3" t="s">
        <v>31</v>
      </c>
      <c r="H142" s="3" t="s">
        <v>53</v>
      </c>
      <c r="I142" s="3" t="s">
        <v>26</v>
      </c>
      <c r="J142" s="3">
        <v>1710.0</v>
      </c>
      <c r="K142" s="3"/>
      <c r="N142" s="3">
        <v>1580.0</v>
      </c>
      <c r="P142" s="4">
        <f t="shared" si="15"/>
        <v>2701.8</v>
      </c>
    </row>
    <row r="143">
      <c r="A143" s="3">
        <v>2025.0</v>
      </c>
      <c r="B143" s="3" t="s">
        <v>99</v>
      </c>
      <c r="C143" s="1" t="s">
        <v>109</v>
      </c>
      <c r="F143" s="3" t="s">
        <v>26</v>
      </c>
      <c r="G143" s="3" t="s">
        <v>31</v>
      </c>
      <c r="H143" s="3" t="s">
        <v>103</v>
      </c>
      <c r="I143" s="3" t="s">
        <v>26</v>
      </c>
      <c r="J143" s="3">
        <v>475.0</v>
      </c>
      <c r="N143" s="3">
        <v>8580.0</v>
      </c>
      <c r="P143" s="4">
        <f t="shared" si="15"/>
        <v>4075.5</v>
      </c>
    </row>
    <row r="144">
      <c r="A144" s="3">
        <v>2025.0</v>
      </c>
      <c r="B144" s="3" t="s">
        <v>99</v>
      </c>
      <c r="C144" s="1" t="s">
        <v>109</v>
      </c>
      <c r="F144" s="3" t="s">
        <v>26</v>
      </c>
      <c r="G144" s="3" t="s">
        <v>29</v>
      </c>
      <c r="H144" s="3" t="s">
        <v>30</v>
      </c>
      <c r="I144" s="3" t="s">
        <v>26</v>
      </c>
      <c r="J144" s="3">
        <v>935.0</v>
      </c>
      <c r="K144" s="3"/>
      <c r="N144" s="3">
        <v>10000.0</v>
      </c>
      <c r="P144" s="4">
        <f t="shared" si="15"/>
        <v>9350</v>
      </c>
    </row>
    <row r="145">
      <c r="A145" s="3">
        <v>2025.0</v>
      </c>
      <c r="B145" s="3" t="s">
        <v>99</v>
      </c>
      <c r="C145" s="1" t="s">
        <v>109</v>
      </c>
      <c r="F145" s="3" t="s">
        <v>26</v>
      </c>
      <c r="G145" s="3" t="s">
        <v>29</v>
      </c>
      <c r="H145" s="3" t="s">
        <v>52</v>
      </c>
      <c r="I145" s="3" t="s">
        <v>26</v>
      </c>
      <c r="J145" s="3">
        <v>490.0</v>
      </c>
      <c r="K145" s="3"/>
      <c r="N145" s="3">
        <v>3580.0</v>
      </c>
      <c r="P145" s="4">
        <f t="shared" si="15"/>
        <v>1754.2</v>
      </c>
    </row>
    <row r="146">
      <c r="A146" s="3">
        <v>2025.0</v>
      </c>
      <c r="B146" s="3" t="s">
        <v>99</v>
      </c>
      <c r="C146" s="1" t="s">
        <v>109</v>
      </c>
      <c r="F146" s="3" t="s">
        <v>26</v>
      </c>
      <c r="G146" s="3" t="s">
        <v>113</v>
      </c>
      <c r="H146" s="3" t="s">
        <v>114</v>
      </c>
      <c r="I146" s="3" t="s">
        <v>26</v>
      </c>
      <c r="L146" s="3">
        <v>1.0</v>
      </c>
      <c r="N146" s="3">
        <v>650.0</v>
      </c>
      <c r="P146" s="14">
        <f>L146*N146</f>
        <v>650</v>
      </c>
    </row>
    <row r="147">
      <c r="A147" s="3">
        <v>2025.0</v>
      </c>
      <c r="B147" s="3" t="s">
        <v>99</v>
      </c>
      <c r="C147" s="1" t="s">
        <v>109</v>
      </c>
      <c r="F147" s="3" t="s">
        <v>26</v>
      </c>
      <c r="G147" s="3" t="s">
        <v>31</v>
      </c>
      <c r="H147" s="3" t="s">
        <v>59</v>
      </c>
      <c r="I147" s="3" t="s">
        <v>26</v>
      </c>
      <c r="J147" s="3">
        <v>1040.0</v>
      </c>
      <c r="K147" s="3"/>
      <c r="N147" s="3">
        <v>3580.0</v>
      </c>
      <c r="P147" s="4">
        <f>N147*J147/1000</f>
        <v>3723.2</v>
      </c>
    </row>
    <row r="148">
      <c r="A148" s="3">
        <v>2025.0</v>
      </c>
      <c r="B148" s="3" t="s">
        <v>99</v>
      </c>
      <c r="C148" s="1" t="s">
        <v>109</v>
      </c>
      <c r="F148" s="3" t="s">
        <v>26</v>
      </c>
      <c r="G148" s="3" t="s">
        <v>89</v>
      </c>
      <c r="H148" s="3" t="s">
        <v>115</v>
      </c>
      <c r="I148" s="3" t="s">
        <v>116</v>
      </c>
      <c r="J148" s="3">
        <v>500.0</v>
      </c>
      <c r="L148" s="3">
        <v>2.0</v>
      </c>
      <c r="N148" s="3">
        <v>1500.0</v>
      </c>
      <c r="P148" s="14">
        <f>L148*N148</f>
        <v>3000</v>
      </c>
    </row>
    <row r="149">
      <c r="A149" s="3">
        <v>2025.0</v>
      </c>
      <c r="B149" s="3" t="s">
        <v>99</v>
      </c>
      <c r="C149" s="1" t="s">
        <v>109</v>
      </c>
      <c r="F149" s="3" t="s">
        <v>26</v>
      </c>
      <c r="G149" s="18" t="s">
        <v>38</v>
      </c>
      <c r="H149" s="15" t="s">
        <v>39</v>
      </c>
      <c r="I149" s="15" t="s">
        <v>40</v>
      </c>
      <c r="J149" s="19">
        <v>400.0</v>
      </c>
      <c r="K149" s="15"/>
      <c r="L149" s="19">
        <v>1.0</v>
      </c>
      <c r="M149" s="15"/>
      <c r="N149" s="16">
        <v>21900.0</v>
      </c>
      <c r="O149" s="15"/>
      <c r="P149" s="17">
        <f t="shared" ref="P149:P155" si="16">N149*L149</f>
        <v>21900</v>
      </c>
    </row>
    <row r="150">
      <c r="A150" s="3">
        <v>2025.0</v>
      </c>
      <c r="B150" s="3" t="s">
        <v>99</v>
      </c>
      <c r="C150" s="1" t="s">
        <v>109</v>
      </c>
      <c r="F150" s="3" t="s">
        <v>26</v>
      </c>
      <c r="G150" s="3" t="s">
        <v>48</v>
      </c>
      <c r="H150" s="3" t="s">
        <v>51</v>
      </c>
      <c r="I150" s="3" t="s">
        <v>35</v>
      </c>
      <c r="J150" s="3">
        <v>500.0</v>
      </c>
      <c r="K150" s="3"/>
      <c r="L150" s="3">
        <v>1.0</v>
      </c>
      <c r="M150" s="3"/>
      <c r="N150" s="3">
        <v>3590.0</v>
      </c>
      <c r="P150" s="4">
        <f t="shared" si="16"/>
        <v>3590</v>
      </c>
    </row>
    <row r="151">
      <c r="A151" s="3">
        <v>2025.0</v>
      </c>
      <c r="B151" s="3" t="s">
        <v>99</v>
      </c>
      <c r="C151" s="1" t="s">
        <v>109</v>
      </c>
      <c r="F151" s="3" t="s">
        <v>26</v>
      </c>
      <c r="G151" s="3" t="s">
        <v>89</v>
      </c>
      <c r="H151" s="3" t="s">
        <v>90</v>
      </c>
      <c r="I151" s="3" t="s">
        <v>91</v>
      </c>
      <c r="J151" s="3">
        <v>650.0</v>
      </c>
      <c r="L151" s="3">
        <v>1.0</v>
      </c>
      <c r="N151" s="3">
        <v>8850.0</v>
      </c>
      <c r="P151" s="4">
        <f t="shared" si="16"/>
        <v>8850</v>
      </c>
    </row>
    <row r="152">
      <c r="A152" s="3">
        <v>2025.0</v>
      </c>
      <c r="B152" s="3" t="s">
        <v>99</v>
      </c>
      <c r="C152" s="1" t="s">
        <v>109</v>
      </c>
      <c r="F152" s="3" t="s">
        <v>26</v>
      </c>
      <c r="G152" s="3" t="s">
        <v>27</v>
      </c>
      <c r="H152" s="3" t="s">
        <v>28</v>
      </c>
      <c r="I152" s="3" t="s">
        <v>26</v>
      </c>
      <c r="J152" s="3">
        <v>900.0</v>
      </c>
      <c r="K152" s="3"/>
      <c r="L152" s="3">
        <v>1.0</v>
      </c>
      <c r="M152" s="3"/>
      <c r="N152" s="3">
        <v>7200.0</v>
      </c>
      <c r="P152" s="4">
        <f t="shared" si="16"/>
        <v>7200</v>
      </c>
    </row>
    <row r="153">
      <c r="A153" s="3">
        <v>2025.0</v>
      </c>
      <c r="B153" s="3" t="s">
        <v>99</v>
      </c>
      <c r="C153" s="1" t="s">
        <v>109</v>
      </c>
      <c r="F153" s="3" t="s">
        <v>26</v>
      </c>
      <c r="G153" s="3" t="s">
        <v>16</v>
      </c>
      <c r="H153" s="3" t="s">
        <v>117</v>
      </c>
      <c r="I153" s="3" t="s">
        <v>118</v>
      </c>
      <c r="J153" s="3">
        <v>125.0</v>
      </c>
      <c r="L153" s="3">
        <v>1.0</v>
      </c>
      <c r="N153" s="3">
        <v>7600.0</v>
      </c>
      <c r="P153" s="4">
        <f t="shared" si="16"/>
        <v>7600</v>
      </c>
    </row>
    <row r="154">
      <c r="A154" s="3">
        <v>2025.0</v>
      </c>
      <c r="B154" s="3" t="s">
        <v>99</v>
      </c>
      <c r="C154" s="1" t="s">
        <v>109</v>
      </c>
      <c r="F154" s="3" t="s">
        <v>26</v>
      </c>
      <c r="G154" s="3" t="s">
        <v>16</v>
      </c>
      <c r="H154" s="3" t="s">
        <v>119</v>
      </c>
      <c r="I154" s="3" t="s">
        <v>120</v>
      </c>
      <c r="J154" s="3">
        <v>1300.0</v>
      </c>
      <c r="L154" s="3">
        <v>1.0</v>
      </c>
      <c r="N154" s="3">
        <v>36550.0</v>
      </c>
      <c r="P154" s="4">
        <f t="shared" si="16"/>
        <v>36550</v>
      </c>
    </row>
    <row r="155">
      <c r="A155" s="3">
        <v>2025.0</v>
      </c>
      <c r="B155" s="3" t="s">
        <v>99</v>
      </c>
      <c r="C155" s="1" t="s">
        <v>109</v>
      </c>
      <c r="F155" s="3" t="s">
        <v>26</v>
      </c>
      <c r="G155" s="3" t="s">
        <v>48</v>
      </c>
      <c r="H155" s="3" t="s">
        <v>121</v>
      </c>
      <c r="I155" s="3" t="s">
        <v>35</v>
      </c>
      <c r="J155" s="3">
        <v>500.0</v>
      </c>
      <c r="L155" s="3">
        <v>1.0</v>
      </c>
      <c r="N155" s="3">
        <v>3190.0</v>
      </c>
      <c r="P155" s="4">
        <f t="shared" si="16"/>
        <v>3190</v>
      </c>
    </row>
    <row r="156">
      <c r="A156" s="5" t="s">
        <v>12</v>
      </c>
      <c r="F156" s="6"/>
      <c r="G156" s="6"/>
      <c r="H156" s="6"/>
      <c r="I156" s="6"/>
      <c r="J156" s="6"/>
      <c r="K156" s="6"/>
      <c r="L156" s="6"/>
      <c r="M156" s="6"/>
      <c r="N156" s="6"/>
      <c r="O156" s="10" t="str">
        <f>CHANGE(P102,P156)</f>
        <v>#NAME?</v>
      </c>
      <c r="P156" s="7">
        <f>SUM(P123:P155)</f>
        <v>379000.92</v>
      </c>
    </row>
    <row r="157">
      <c r="A157" s="3">
        <v>2025.0</v>
      </c>
      <c r="B157" s="3" t="s">
        <v>99</v>
      </c>
      <c r="C157" s="1" t="s">
        <v>14</v>
      </c>
      <c r="F157" s="3" t="s">
        <v>15</v>
      </c>
      <c r="G157" s="3" t="s">
        <v>122</v>
      </c>
      <c r="H157" s="3" t="s">
        <v>75</v>
      </c>
      <c r="L157" s="3">
        <v>1.0</v>
      </c>
      <c r="N157" s="3">
        <v>4750.0</v>
      </c>
      <c r="P157" s="4">
        <f t="shared" ref="P157:P167" si="17">N157*L157</f>
        <v>4750</v>
      </c>
    </row>
    <row r="158">
      <c r="A158" s="3">
        <v>2025.0</v>
      </c>
      <c r="B158" s="3" t="s">
        <v>99</v>
      </c>
      <c r="C158" s="1" t="s">
        <v>14</v>
      </c>
      <c r="F158" s="3" t="s">
        <v>15</v>
      </c>
      <c r="G158" s="3" t="s">
        <v>122</v>
      </c>
      <c r="H158" s="3" t="s">
        <v>74</v>
      </c>
      <c r="L158" s="3">
        <v>1.0</v>
      </c>
      <c r="M158" s="3"/>
      <c r="N158" s="8">
        <v>3790.0</v>
      </c>
      <c r="P158" s="4">
        <f t="shared" si="17"/>
        <v>3790</v>
      </c>
    </row>
    <row r="159">
      <c r="A159" s="3">
        <v>2025.0</v>
      </c>
      <c r="B159" s="3" t="s">
        <v>99</v>
      </c>
      <c r="C159" s="1" t="s">
        <v>14</v>
      </c>
      <c r="F159" s="3" t="s">
        <v>15</v>
      </c>
      <c r="G159" s="3" t="s">
        <v>16</v>
      </c>
      <c r="H159" s="3" t="s">
        <v>78</v>
      </c>
      <c r="L159" s="3">
        <v>1.0</v>
      </c>
      <c r="M159" s="3"/>
      <c r="N159" s="3">
        <v>7990.0</v>
      </c>
      <c r="P159" s="4">
        <f t="shared" si="17"/>
        <v>7990</v>
      </c>
    </row>
    <row r="160">
      <c r="A160" s="3">
        <v>2025.0</v>
      </c>
      <c r="B160" s="3" t="s">
        <v>99</v>
      </c>
      <c r="C160" s="1" t="s">
        <v>14</v>
      </c>
      <c r="F160" s="3" t="s">
        <v>15</v>
      </c>
      <c r="G160" s="3" t="s">
        <v>33</v>
      </c>
      <c r="H160" s="3" t="s">
        <v>72</v>
      </c>
      <c r="L160" s="3">
        <v>1.0</v>
      </c>
      <c r="M160" s="3"/>
      <c r="N160" s="8">
        <v>8700.0</v>
      </c>
      <c r="P160" s="4">
        <f t="shared" si="17"/>
        <v>8700</v>
      </c>
    </row>
    <row r="161">
      <c r="A161" s="3">
        <v>2025.0</v>
      </c>
      <c r="B161" s="3" t="s">
        <v>99</v>
      </c>
      <c r="C161" s="1" t="s">
        <v>14</v>
      </c>
      <c r="F161" s="3" t="s">
        <v>15</v>
      </c>
      <c r="G161" s="3" t="s">
        <v>33</v>
      </c>
      <c r="H161" s="3" t="s">
        <v>123</v>
      </c>
      <c r="L161" s="3">
        <v>1.0</v>
      </c>
      <c r="N161" s="3">
        <v>11990.0</v>
      </c>
      <c r="P161" s="4">
        <f t="shared" si="17"/>
        <v>11990</v>
      </c>
    </row>
    <row r="162">
      <c r="A162" s="3">
        <v>2025.0</v>
      </c>
      <c r="B162" s="3" t="s">
        <v>99</v>
      </c>
      <c r="C162" s="1" t="s">
        <v>14</v>
      </c>
      <c r="F162" s="3" t="s">
        <v>15</v>
      </c>
      <c r="G162" s="3" t="s">
        <v>124</v>
      </c>
      <c r="H162" s="3" t="s">
        <v>125</v>
      </c>
      <c r="L162" s="3">
        <v>1.0</v>
      </c>
      <c r="N162" s="3">
        <v>4250.0</v>
      </c>
      <c r="P162" s="4">
        <f t="shared" si="17"/>
        <v>4250</v>
      </c>
    </row>
    <row r="163">
      <c r="A163" s="3">
        <v>2025.0</v>
      </c>
      <c r="B163" s="3" t="s">
        <v>99</v>
      </c>
      <c r="C163" s="1" t="s">
        <v>14</v>
      </c>
      <c r="F163" s="3" t="s">
        <v>15</v>
      </c>
      <c r="G163" s="3" t="s">
        <v>33</v>
      </c>
      <c r="H163" s="3" t="s">
        <v>126</v>
      </c>
      <c r="L163" s="3">
        <v>1.0</v>
      </c>
      <c r="N163" s="3">
        <v>7990.0</v>
      </c>
      <c r="P163" s="4">
        <f t="shared" si="17"/>
        <v>7990</v>
      </c>
    </row>
    <row r="164">
      <c r="A164" s="3">
        <v>2025.0</v>
      </c>
      <c r="B164" s="3" t="s">
        <v>99</v>
      </c>
      <c r="C164" s="1" t="s">
        <v>14</v>
      </c>
      <c r="F164" s="3" t="s">
        <v>15</v>
      </c>
      <c r="G164" s="3" t="s">
        <v>127</v>
      </c>
      <c r="H164" s="3" t="s">
        <v>71</v>
      </c>
      <c r="L164" s="3">
        <v>1.0</v>
      </c>
      <c r="M164" s="3"/>
      <c r="N164" s="8">
        <v>5350.0</v>
      </c>
      <c r="P164" s="4">
        <f t="shared" si="17"/>
        <v>5350</v>
      </c>
    </row>
    <row r="165">
      <c r="A165" s="3">
        <v>2025.0</v>
      </c>
      <c r="B165" s="3" t="s">
        <v>99</v>
      </c>
      <c r="C165" s="1" t="s">
        <v>14</v>
      </c>
      <c r="F165" s="3" t="s">
        <v>15</v>
      </c>
      <c r="G165" s="3" t="s">
        <v>127</v>
      </c>
      <c r="H165" s="3" t="s">
        <v>67</v>
      </c>
      <c r="L165" s="3">
        <v>1.0</v>
      </c>
      <c r="M165" s="3"/>
      <c r="N165" s="8">
        <v>2450.0</v>
      </c>
      <c r="P165" s="4">
        <f t="shared" si="17"/>
        <v>2450</v>
      </c>
    </row>
    <row r="166">
      <c r="A166" s="3">
        <v>2025.0</v>
      </c>
      <c r="B166" s="3" t="s">
        <v>99</v>
      </c>
      <c r="C166" s="1" t="s">
        <v>14</v>
      </c>
      <c r="F166" s="3" t="s">
        <v>15</v>
      </c>
      <c r="G166" s="3" t="s">
        <v>127</v>
      </c>
      <c r="H166" s="3" t="s">
        <v>128</v>
      </c>
      <c r="L166" s="3">
        <v>1.0</v>
      </c>
      <c r="N166" s="3">
        <v>2470.0</v>
      </c>
      <c r="P166" s="4">
        <f t="shared" si="17"/>
        <v>2470</v>
      </c>
    </row>
    <row r="167">
      <c r="A167" s="3">
        <v>2025.0</v>
      </c>
      <c r="B167" s="3" t="s">
        <v>99</v>
      </c>
      <c r="C167" s="1" t="s">
        <v>14</v>
      </c>
      <c r="F167" s="3" t="s">
        <v>15</v>
      </c>
      <c r="G167" s="3" t="s">
        <v>127</v>
      </c>
      <c r="H167" s="3" t="s">
        <v>129</v>
      </c>
      <c r="L167" s="3">
        <v>1.0</v>
      </c>
      <c r="M167" s="3"/>
      <c r="N167" s="9">
        <v>4950.0</v>
      </c>
      <c r="P167" s="4">
        <f t="shared" si="17"/>
        <v>4950</v>
      </c>
    </row>
    <row r="168">
      <c r="A168" s="5" t="s">
        <v>12</v>
      </c>
      <c r="F168" s="6"/>
      <c r="G168" s="6"/>
      <c r="H168" s="6"/>
      <c r="I168" s="6"/>
      <c r="J168" s="6"/>
      <c r="K168" s="6"/>
      <c r="L168" s="6"/>
      <c r="M168" s="6"/>
      <c r="N168" s="6"/>
      <c r="O168" s="10" t="str">
        <f>CHANGE(P114,P168)</f>
        <v>#NAME?</v>
      </c>
      <c r="P168" s="7">
        <f>SUM(P157:P167)</f>
        <v>64680</v>
      </c>
    </row>
    <row r="169">
      <c r="A169" s="3">
        <v>2025.0</v>
      </c>
      <c r="B169" s="3" t="s">
        <v>13</v>
      </c>
      <c r="C169" s="1" t="s">
        <v>109</v>
      </c>
      <c r="F169" s="3" t="s">
        <v>26</v>
      </c>
      <c r="G169" s="3" t="s">
        <v>16</v>
      </c>
      <c r="H169" s="3" t="s">
        <v>130</v>
      </c>
      <c r="I169" s="3" t="s">
        <v>86</v>
      </c>
      <c r="J169" s="3">
        <v>900.0</v>
      </c>
      <c r="L169" s="3">
        <v>4.0</v>
      </c>
      <c r="N169" s="3">
        <v>3390.0</v>
      </c>
      <c r="P169" s="4">
        <f>N169*L169</f>
        <v>13560</v>
      </c>
    </row>
    <row r="170">
      <c r="A170" s="3">
        <v>2025.0</v>
      </c>
      <c r="B170" s="3" t="s">
        <v>13</v>
      </c>
      <c r="C170" s="1" t="s">
        <v>109</v>
      </c>
      <c r="F170" s="3" t="s">
        <v>26</v>
      </c>
      <c r="G170" s="3" t="s">
        <v>33</v>
      </c>
      <c r="H170" s="3" t="s">
        <v>131</v>
      </c>
      <c r="I170" s="3" t="s">
        <v>26</v>
      </c>
      <c r="J170" s="3">
        <v>1042.0</v>
      </c>
      <c r="K170" s="3"/>
      <c r="L170" s="3">
        <v>1.0</v>
      </c>
      <c r="N170" s="3">
        <v>31980.0</v>
      </c>
      <c r="P170" s="4">
        <f t="shared" ref="P170:P183" si="18">N170*J170/1000</f>
        <v>33323.16</v>
      </c>
    </row>
    <row r="171">
      <c r="A171" s="3">
        <v>2025.0</v>
      </c>
      <c r="B171" s="3" t="s">
        <v>13</v>
      </c>
      <c r="C171" s="1" t="s">
        <v>109</v>
      </c>
      <c r="F171" s="3" t="s">
        <v>26</v>
      </c>
      <c r="G171" s="3" t="s">
        <v>33</v>
      </c>
      <c r="H171" s="3" t="s">
        <v>43</v>
      </c>
      <c r="I171" s="3" t="s">
        <v>26</v>
      </c>
      <c r="J171" s="13">
        <v>1130.0</v>
      </c>
      <c r="L171" s="3">
        <v>1.0</v>
      </c>
      <c r="N171" s="13">
        <v>28580.0</v>
      </c>
      <c r="P171" s="4">
        <f t="shared" si="18"/>
        <v>32295.4</v>
      </c>
    </row>
    <row r="172">
      <c r="A172" s="3">
        <v>2025.0</v>
      </c>
      <c r="B172" s="3" t="s">
        <v>13</v>
      </c>
      <c r="C172" s="1" t="s">
        <v>109</v>
      </c>
      <c r="F172" s="3" t="s">
        <v>26</v>
      </c>
      <c r="G172" s="3" t="s">
        <v>33</v>
      </c>
      <c r="H172" s="3" t="s">
        <v>83</v>
      </c>
      <c r="I172" s="3" t="s">
        <v>26</v>
      </c>
      <c r="J172" s="13">
        <v>1050.0</v>
      </c>
      <c r="L172" s="3">
        <v>1.0</v>
      </c>
      <c r="N172" s="13">
        <v>19400.0</v>
      </c>
      <c r="P172" s="4">
        <f t="shared" si="18"/>
        <v>20370</v>
      </c>
    </row>
    <row r="173">
      <c r="A173" s="3">
        <v>2025.0</v>
      </c>
      <c r="B173" s="3" t="s">
        <v>13</v>
      </c>
      <c r="C173" s="1" t="s">
        <v>109</v>
      </c>
      <c r="F173" s="3" t="s">
        <v>26</v>
      </c>
      <c r="G173" s="3" t="s">
        <v>33</v>
      </c>
      <c r="H173" s="3" t="s">
        <v>84</v>
      </c>
      <c r="I173" s="3" t="s">
        <v>26</v>
      </c>
      <c r="J173" s="13">
        <v>1086.0</v>
      </c>
      <c r="L173" s="3">
        <v>1.0</v>
      </c>
      <c r="N173" s="13">
        <v>25980.0</v>
      </c>
      <c r="P173" s="4">
        <f t="shared" si="18"/>
        <v>28214.28</v>
      </c>
    </row>
    <row r="174">
      <c r="A174" s="3">
        <v>2025.0</v>
      </c>
      <c r="B174" s="3" t="s">
        <v>13</v>
      </c>
      <c r="C174" s="1" t="s">
        <v>109</v>
      </c>
      <c r="F174" s="3" t="s">
        <v>26</v>
      </c>
      <c r="G174" s="3" t="s">
        <v>33</v>
      </c>
      <c r="H174" s="3" t="s">
        <v>42</v>
      </c>
      <c r="I174" s="3" t="s">
        <v>26</v>
      </c>
      <c r="J174" s="3">
        <v>778.0</v>
      </c>
      <c r="K174" s="3"/>
      <c r="L174" s="3">
        <v>1.0</v>
      </c>
      <c r="N174" s="3">
        <v>19000.0</v>
      </c>
      <c r="P174" s="4">
        <f t="shared" si="18"/>
        <v>14782</v>
      </c>
    </row>
    <row r="175">
      <c r="A175" s="3">
        <v>2025.0</v>
      </c>
      <c r="B175" s="3" t="s">
        <v>13</v>
      </c>
      <c r="C175" s="1" t="s">
        <v>109</v>
      </c>
      <c r="F175" s="3" t="s">
        <v>26</v>
      </c>
      <c r="G175" s="3" t="s">
        <v>33</v>
      </c>
      <c r="H175" s="3" t="s">
        <v>56</v>
      </c>
      <c r="I175" s="3" t="s">
        <v>26</v>
      </c>
      <c r="J175" s="3">
        <v>2865.0</v>
      </c>
      <c r="K175" s="3"/>
      <c r="L175" s="3">
        <v>1.0</v>
      </c>
      <c r="N175" s="3">
        <v>10980.0</v>
      </c>
      <c r="P175" s="4">
        <f t="shared" si="18"/>
        <v>31457.7</v>
      </c>
    </row>
    <row r="176">
      <c r="A176" s="3">
        <v>2025.0</v>
      </c>
      <c r="B176" s="3" t="s">
        <v>13</v>
      </c>
      <c r="C176" s="1" t="s">
        <v>109</v>
      </c>
      <c r="F176" s="3" t="s">
        <v>26</v>
      </c>
      <c r="G176" s="3" t="s">
        <v>33</v>
      </c>
      <c r="H176" s="3" t="s">
        <v>94</v>
      </c>
      <c r="I176" s="3" t="s">
        <v>26</v>
      </c>
      <c r="J176" s="13">
        <v>1175.0</v>
      </c>
      <c r="L176" s="3">
        <v>1.0</v>
      </c>
      <c r="N176" s="13">
        <v>14980.0</v>
      </c>
      <c r="P176" s="4">
        <f t="shared" si="18"/>
        <v>17601.5</v>
      </c>
    </row>
    <row r="177">
      <c r="A177" s="3">
        <v>2025.0</v>
      </c>
      <c r="B177" s="3" t="s">
        <v>13</v>
      </c>
      <c r="C177" s="1" t="s">
        <v>109</v>
      </c>
      <c r="F177" s="3" t="s">
        <v>26</v>
      </c>
      <c r="G177" s="3" t="s">
        <v>29</v>
      </c>
      <c r="H177" s="3" t="s">
        <v>81</v>
      </c>
      <c r="I177" s="3" t="s">
        <v>26</v>
      </c>
      <c r="J177" s="13">
        <v>2350.0</v>
      </c>
      <c r="L177" s="3">
        <v>1.0</v>
      </c>
      <c r="N177" s="13">
        <v>3100.0</v>
      </c>
      <c r="P177" s="4">
        <f t="shared" si="18"/>
        <v>7285</v>
      </c>
    </row>
    <row r="178">
      <c r="A178" s="3">
        <v>2025.0</v>
      </c>
      <c r="B178" s="3" t="s">
        <v>13</v>
      </c>
      <c r="C178" s="1" t="s">
        <v>109</v>
      </c>
      <c r="F178" s="3" t="s">
        <v>26</v>
      </c>
      <c r="G178" s="3" t="s">
        <v>31</v>
      </c>
      <c r="H178" s="3" t="s">
        <v>55</v>
      </c>
      <c r="I178" s="3" t="s">
        <v>26</v>
      </c>
      <c r="J178" s="3">
        <v>1450.0</v>
      </c>
      <c r="K178" s="3"/>
      <c r="L178" s="3">
        <v>1.0</v>
      </c>
      <c r="N178" s="3">
        <v>1980.0</v>
      </c>
      <c r="P178" s="4">
        <f t="shared" si="18"/>
        <v>2871</v>
      </c>
    </row>
    <row r="179">
      <c r="A179" s="3">
        <v>2025.0</v>
      </c>
      <c r="B179" s="3" t="s">
        <v>13</v>
      </c>
      <c r="C179" s="1" t="s">
        <v>109</v>
      </c>
      <c r="F179" s="3" t="s">
        <v>26</v>
      </c>
      <c r="G179" s="3" t="s">
        <v>31</v>
      </c>
      <c r="H179" s="3" t="s">
        <v>30</v>
      </c>
      <c r="I179" s="3" t="s">
        <v>26</v>
      </c>
      <c r="J179" s="3">
        <v>1530.0</v>
      </c>
      <c r="K179" s="3"/>
      <c r="L179" s="3">
        <v>1.0</v>
      </c>
      <c r="N179" s="3">
        <v>7980.0</v>
      </c>
      <c r="P179" s="4">
        <f t="shared" si="18"/>
        <v>12209.4</v>
      </c>
    </row>
    <row r="180">
      <c r="A180" s="3">
        <v>2025.0</v>
      </c>
      <c r="B180" s="3" t="s">
        <v>13</v>
      </c>
      <c r="C180" s="1" t="s">
        <v>109</v>
      </c>
      <c r="F180" s="3" t="s">
        <v>26</v>
      </c>
      <c r="G180" s="3" t="s">
        <v>31</v>
      </c>
      <c r="H180" s="3" t="s">
        <v>58</v>
      </c>
      <c r="I180" s="3" t="s">
        <v>26</v>
      </c>
      <c r="J180" s="3">
        <f>2420+790</f>
        <v>3210</v>
      </c>
      <c r="K180" s="3"/>
      <c r="L180" s="3">
        <v>1.0</v>
      </c>
      <c r="N180" s="3">
        <v>5780.0</v>
      </c>
      <c r="P180" s="4">
        <f t="shared" si="18"/>
        <v>18553.8</v>
      </c>
    </row>
    <row r="181">
      <c r="A181" s="3">
        <v>2025.0</v>
      </c>
      <c r="B181" s="3" t="s">
        <v>13</v>
      </c>
      <c r="C181" s="1" t="s">
        <v>109</v>
      </c>
      <c r="F181" s="3" t="s">
        <v>26</v>
      </c>
      <c r="G181" s="3" t="s">
        <v>31</v>
      </c>
      <c r="H181" s="3" t="s">
        <v>57</v>
      </c>
      <c r="I181" s="3" t="s">
        <v>26</v>
      </c>
      <c r="J181" s="3">
        <v>620.0</v>
      </c>
      <c r="K181" s="3"/>
      <c r="L181" s="3">
        <v>1.0</v>
      </c>
      <c r="N181" s="3">
        <v>2300.0</v>
      </c>
      <c r="P181" s="4">
        <f t="shared" si="18"/>
        <v>1426</v>
      </c>
    </row>
    <row r="182">
      <c r="A182" s="3">
        <v>2025.0</v>
      </c>
      <c r="B182" s="3" t="s">
        <v>13</v>
      </c>
      <c r="C182" s="1" t="s">
        <v>109</v>
      </c>
      <c r="F182" s="3" t="s">
        <v>26</v>
      </c>
      <c r="G182" s="3" t="s">
        <v>31</v>
      </c>
      <c r="H182" s="3" t="s">
        <v>87</v>
      </c>
      <c r="I182" s="3" t="s">
        <v>26</v>
      </c>
      <c r="J182" s="3">
        <v>830.0</v>
      </c>
      <c r="L182" s="3">
        <v>1.0</v>
      </c>
      <c r="N182" s="13">
        <v>4400.0</v>
      </c>
      <c r="P182" s="4">
        <f t="shared" si="18"/>
        <v>3652</v>
      </c>
    </row>
    <row r="183">
      <c r="A183" s="3">
        <v>2025.0</v>
      </c>
      <c r="B183" s="3" t="s">
        <v>13</v>
      </c>
      <c r="C183" s="1" t="s">
        <v>109</v>
      </c>
      <c r="F183" s="3" t="s">
        <v>26</v>
      </c>
      <c r="G183" s="3" t="s">
        <v>31</v>
      </c>
      <c r="H183" s="3" t="s">
        <v>82</v>
      </c>
      <c r="I183" s="3" t="s">
        <v>26</v>
      </c>
      <c r="J183" s="13">
        <v>810.0</v>
      </c>
      <c r="L183" s="3">
        <v>1.0</v>
      </c>
      <c r="N183" s="13">
        <v>7900.0</v>
      </c>
      <c r="P183" s="4">
        <f t="shared" si="18"/>
        <v>6399</v>
      </c>
    </row>
    <row r="184">
      <c r="A184" s="3">
        <v>2025.0</v>
      </c>
      <c r="B184" s="3" t="s">
        <v>13</v>
      </c>
      <c r="C184" s="1" t="s">
        <v>109</v>
      </c>
      <c r="F184" s="3" t="s">
        <v>26</v>
      </c>
      <c r="G184" s="3" t="s">
        <v>31</v>
      </c>
      <c r="H184" s="3" t="s">
        <v>132</v>
      </c>
      <c r="I184" s="3" t="s">
        <v>26</v>
      </c>
      <c r="L184" s="3">
        <v>2.0</v>
      </c>
      <c r="N184" s="3">
        <v>1990.0</v>
      </c>
      <c r="P184" s="4">
        <f>N184*L184</f>
        <v>3980</v>
      </c>
    </row>
    <row r="185">
      <c r="A185" s="3">
        <v>2025.0</v>
      </c>
      <c r="B185" s="3" t="s">
        <v>13</v>
      </c>
      <c r="C185" s="1" t="s">
        <v>109</v>
      </c>
      <c r="F185" s="3" t="s">
        <v>26</v>
      </c>
      <c r="G185" s="3" t="s">
        <v>31</v>
      </c>
      <c r="H185" s="3" t="s">
        <v>54</v>
      </c>
      <c r="I185" s="3" t="s">
        <v>26</v>
      </c>
      <c r="J185" s="3">
        <f>580+190</f>
        <v>770</v>
      </c>
      <c r="K185" s="3"/>
      <c r="N185" s="3">
        <v>5500.0</v>
      </c>
      <c r="P185" s="4">
        <f t="shared" ref="P185:P189" si="19">N185*J185/1000</f>
        <v>4235</v>
      </c>
    </row>
    <row r="186">
      <c r="A186" s="3">
        <v>2025.0</v>
      </c>
      <c r="B186" s="3" t="s">
        <v>13</v>
      </c>
      <c r="C186" s="1" t="s">
        <v>109</v>
      </c>
      <c r="F186" s="3" t="s">
        <v>26</v>
      </c>
      <c r="G186" s="3" t="s">
        <v>31</v>
      </c>
      <c r="H186" s="3" t="s">
        <v>46</v>
      </c>
      <c r="I186" s="3" t="s">
        <v>26</v>
      </c>
      <c r="J186" s="3">
        <f>2090+1060</f>
        <v>3150</v>
      </c>
      <c r="K186" s="3"/>
      <c r="N186" s="3">
        <v>2100.0</v>
      </c>
      <c r="P186" s="4">
        <f t="shared" si="19"/>
        <v>6615</v>
      </c>
    </row>
    <row r="187">
      <c r="A187" s="3">
        <v>2025.0</v>
      </c>
      <c r="B187" s="3" t="s">
        <v>13</v>
      </c>
      <c r="C187" s="1" t="s">
        <v>109</v>
      </c>
      <c r="F187" s="3" t="s">
        <v>26</v>
      </c>
      <c r="G187" s="3" t="s">
        <v>31</v>
      </c>
      <c r="H187" s="3" t="s">
        <v>59</v>
      </c>
      <c r="I187" s="3" t="s">
        <v>26</v>
      </c>
      <c r="J187" s="3">
        <v>1630.0</v>
      </c>
      <c r="K187" s="3"/>
      <c r="N187" s="3">
        <v>1980.0</v>
      </c>
      <c r="P187" s="4">
        <f t="shared" si="19"/>
        <v>3227.4</v>
      </c>
    </row>
    <row r="188">
      <c r="A188" s="3">
        <v>2025.0</v>
      </c>
      <c r="B188" s="3" t="s">
        <v>13</v>
      </c>
      <c r="C188" s="1" t="s">
        <v>109</v>
      </c>
      <c r="F188" s="3" t="s">
        <v>26</v>
      </c>
      <c r="G188" s="3" t="s">
        <v>31</v>
      </c>
      <c r="H188" s="3" t="s">
        <v>53</v>
      </c>
      <c r="I188" s="3" t="s">
        <v>26</v>
      </c>
      <c r="J188" s="3">
        <f>870+970</f>
        <v>1840</v>
      </c>
      <c r="K188" s="3"/>
      <c r="N188" s="3">
        <v>2900.0</v>
      </c>
      <c r="P188" s="4">
        <f t="shared" si="19"/>
        <v>5336</v>
      </c>
    </row>
    <row r="189">
      <c r="A189" s="3">
        <v>2025.0</v>
      </c>
      <c r="B189" s="3" t="s">
        <v>13</v>
      </c>
      <c r="C189" s="1" t="s">
        <v>109</v>
      </c>
      <c r="F189" s="3" t="s">
        <v>26</v>
      </c>
      <c r="G189" s="3" t="s">
        <v>31</v>
      </c>
      <c r="H189" s="3" t="s">
        <v>93</v>
      </c>
      <c r="I189" s="3" t="s">
        <v>26</v>
      </c>
      <c r="J189" s="13">
        <v>2320.0</v>
      </c>
      <c r="N189" s="3">
        <v>1980.0</v>
      </c>
      <c r="P189" s="4">
        <f t="shared" si="19"/>
        <v>4593.6</v>
      </c>
    </row>
    <row r="190">
      <c r="A190" s="3">
        <v>2025.0</v>
      </c>
      <c r="B190" s="3" t="s">
        <v>13</v>
      </c>
      <c r="C190" s="1" t="s">
        <v>109</v>
      </c>
      <c r="F190" s="3" t="s">
        <v>26</v>
      </c>
      <c r="G190" s="3" t="s">
        <v>48</v>
      </c>
      <c r="H190" s="3" t="s">
        <v>49</v>
      </c>
      <c r="I190" s="3" t="s">
        <v>35</v>
      </c>
      <c r="J190" s="3">
        <v>500.0</v>
      </c>
      <c r="K190" s="3"/>
      <c r="L190" s="3">
        <v>1.0</v>
      </c>
      <c r="M190" s="3"/>
      <c r="N190" s="3">
        <v>3550.0</v>
      </c>
      <c r="P190" s="4">
        <f t="shared" ref="P190:P197" si="20">N190*L190</f>
        <v>3550</v>
      </c>
    </row>
    <row r="191">
      <c r="A191" s="3">
        <v>2025.0</v>
      </c>
      <c r="B191" s="3" t="s">
        <v>13</v>
      </c>
      <c r="C191" s="1" t="s">
        <v>109</v>
      </c>
      <c r="F191" s="3" t="s">
        <v>26</v>
      </c>
      <c r="G191" s="3" t="s">
        <v>48</v>
      </c>
      <c r="H191" s="3" t="s">
        <v>50</v>
      </c>
      <c r="I191" s="3" t="s">
        <v>35</v>
      </c>
      <c r="J191" s="3">
        <v>500.0</v>
      </c>
      <c r="K191" s="3"/>
      <c r="L191" s="3">
        <v>1.0</v>
      </c>
      <c r="M191" s="3"/>
      <c r="N191" s="3">
        <v>3990.0</v>
      </c>
      <c r="P191" s="4">
        <f t="shared" si="20"/>
        <v>3990</v>
      </c>
    </row>
    <row r="192">
      <c r="A192" s="3">
        <v>2025.0</v>
      </c>
      <c r="B192" s="3" t="s">
        <v>13</v>
      </c>
      <c r="C192" s="1" t="s">
        <v>109</v>
      </c>
      <c r="F192" s="3" t="s">
        <v>26</v>
      </c>
      <c r="G192" s="3" t="s">
        <v>38</v>
      </c>
      <c r="H192" s="3" t="s">
        <v>39</v>
      </c>
      <c r="I192" s="3" t="s">
        <v>40</v>
      </c>
      <c r="J192" s="3">
        <v>400.0</v>
      </c>
      <c r="K192" s="3"/>
      <c r="L192" s="3">
        <v>1.0</v>
      </c>
      <c r="M192" s="3"/>
      <c r="N192" s="3">
        <v>10990.0</v>
      </c>
      <c r="P192" s="4">
        <f t="shared" si="20"/>
        <v>10990</v>
      </c>
    </row>
    <row r="193">
      <c r="A193" s="3">
        <v>2025.0</v>
      </c>
      <c r="B193" s="3" t="s">
        <v>13</v>
      </c>
      <c r="C193" s="1" t="s">
        <v>109</v>
      </c>
      <c r="F193" s="3" t="s">
        <v>26</v>
      </c>
      <c r="G193" s="3" t="s">
        <v>48</v>
      </c>
      <c r="H193" s="3" t="s">
        <v>133</v>
      </c>
      <c r="I193" s="3" t="s">
        <v>35</v>
      </c>
      <c r="J193" s="3">
        <v>500.0</v>
      </c>
      <c r="L193" s="3">
        <v>1.0</v>
      </c>
      <c r="N193" s="3">
        <v>1990.0</v>
      </c>
      <c r="P193" s="4">
        <f t="shared" si="20"/>
        <v>1990</v>
      </c>
    </row>
    <row r="194">
      <c r="A194" s="3">
        <v>2025.0</v>
      </c>
      <c r="B194" s="3" t="s">
        <v>13</v>
      </c>
      <c r="C194" s="1" t="s">
        <v>109</v>
      </c>
      <c r="F194" s="3" t="s">
        <v>26</v>
      </c>
      <c r="G194" s="3" t="s">
        <v>27</v>
      </c>
      <c r="H194" s="3" t="s">
        <v>28</v>
      </c>
      <c r="I194" s="3" t="s">
        <v>26</v>
      </c>
      <c r="J194" s="3">
        <v>900.0</v>
      </c>
      <c r="K194" s="3"/>
      <c r="L194" s="3">
        <v>1.0</v>
      </c>
      <c r="M194" s="3"/>
      <c r="N194" s="3">
        <v>7200.0</v>
      </c>
      <c r="P194" s="4">
        <f t="shared" si="20"/>
        <v>7200</v>
      </c>
    </row>
    <row r="195">
      <c r="A195" s="3">
        <v>2025.0</v>
      </c>
      <c r="B195" s="3" t="s">
        <v>13</v>
      </c>
      <c r="C195" s="1" t="s">
        <v>109</v>
      </c>
      <c r="F195" s="3" t="s">
        <v>26</v>
      </c>
      <c r="G195" s="3" t="s">
        <v>89</v>
      </c>
      <c r="H195" s="3" t="s">
        <v>90</v>
      </c>
      <c r="I195" s="3" t="s">
        <v>91</v>
      </c>
      <c r="J195" s="3">
        <v>650.0</v>
      </c>
      <c r="L195" s="3">
        <v>1.0</v>
      </c>
      <c r="N195" s="3">
        <v>8850.0</v>
      </c>
      <c r="P195" s="4">
        <f t="shared" si="20"/>
        <v>8850</v>
      </c>
    </row>
    <row r="196">
      <c r="A196" s="3">
        <v>2025.0</v>
      </c>
      <c r="B196" s="3" t="s">
        <v>13</v>
      </c>
      <c r="C196" s="1" t="s">
        <v>109</v>
      </c>
      <c r="F196" s="3" t="s">
        <v>26</v>
      </c>
      <c r="G196" s="3" t="s">
        <v>124</v>
      </c>
      <c r="H196" s="3" t="s">
        <v>134</v>
      </c>
      <c r="L196" s="3">
        <v>1.0</v>
      </c>
      <c r="N196" s="3">
        <v>11950.0</v>
      </c>
      <c r="P196" s="4">
        <f t="shared" si="20"/>
        <v>11950</v>
      </c>
    </row>
    <row r="197">
      <c r="A197" s="3">
        <v>2025.0</v>
      </c>
      <c r="B197" s="3" t="s">
        <v>13</v>
      </c>
      <c r="C197" s="1" t="s">
        <v>109</v>
      </c>
      <c r="F197" s="3" t="s">
        <v>26</v>
      </c>
      <c r="G197" s="3" t="s">
        <v>33</v>
      </c>
      <c r="H197" s="3" t="s">
        <v>34</v>
      </c>
      <c r="I197" s="3" t="s">
        <v>35</v>
      </c>
      <c r="J197" s="3">
        <v>160.0</v>
      </c>
      <c r="K197" s="3"/>
      <c r="L197" s="3">
        <v>1.0</v>
      </c>
      <c r="M197" s="3"/>
      <c r="N197" s="3">
        <v>4990.0</v>
      </c>
      <c r="P197" s="4">
        <f t="shared" si="20"/>
        <v>4990</v>
      </c>
    </row>
    <row r="198">
      <c r="A198" s="5" t="s">
        <v>12</v>
      </c>
      <c r="F198" s="6"/>
      <c r="G198" s="6"/>
      <c r="H198" s="6"/>
      <c r="I198" s="6"/>
      <c r="J198" s="6"/>
      <c r="K198" s="6"/>
      <c r="L198" s="6"/>
      <c r="M198" s="6"/>
      <c r="N198" s="6"/>
      <c r="O198" s="10" t="str">
        <f>CHANGE(P144,P198)</f>
        <v>#NAME?</v>
      </c>
      <c r="P198" s="7">
        <f>SUM(P169:P197)</f>
        <v>325497.24</v>
      </c>
    </row>
    <row r="199">
      <c r="A199" s="3">
        <v>2025.0</v>
      </c>
      <c r="B199" s="3" t="s">
        <v>99</v>
      </c>
      <c r="C199" s="1" t="s">
        <v>109</v>
      </c>
      <c r="F199" s="3" t="s">
        <v>15</v>
      </c>
      <c r="G199" s="3" t="s">
        <v>16</v>
      </c>
      <c r="H199" s="3" t="s">
        <v>78</v>
      </c>
      <c r="L199" s="3">
        <v>1.0</v>
      </c>
      <c r="M199" s="3"/>
      <c r="N199" s="3">
        <v>7990.0</v>
      </c>
      <c r="P199" s="4">
        <f t="shared" ref="P199:P208" si="21">N199*L199</f>
        <v>7990</v>
      </c>
    </row>
    <row r="200">
      <c r="A200" s="3">
        <v>2025.0</v>
      </c>
      <c r="B200" s="3" t="s">
        <v>99</v>
      </c>
      <c r="C200" s="1" t="s">
        <v>109</v>
      </c>
      <c r="F200" s="3" t="s">
        <v>15</v>
      </c>
      <c r="H200" s="3" t="s">
        <v>66</v>
      </c>
      <c r="L200" s="3">
        <v>1.0</v>
      </c>
      <c r="M200" s="3"/>
      <c r="N200" s="9">
        <v>1200.0</v>
      </c>
      <c r="P200" s="4">
        <f t="shared" si="21"/>
        <v>1200</v>
      </c>
    </row>
    <row r="201">
      <c r="A201" s="3">
        <v>2025.0</v>
      </c>
      <c r="B201" s="3" t="s">
        <v>99</v>
      </c>
      <c r="C201" s="1" t="s">
        <v>109</v>
      </c>
      <c r="F201" s="3" t="s">
        <v>15</v>
      </c>
      <c r="H201" s="3" t="s">
        <v>64</v>
      </c>
      <c r="L201" s="3">
        <v>2.0</v>
      </c>
      <c r="M201" s="3"/>
      <c r="N201" s="9">
        <v>4990.0</v>
      </c>
      <c r="P201" s="4">
        <f t="shared" si="21"/>
        <v>9980</v>
      </c>
    </row>
    <row r="202">
      <c r="A202" s="3">
        <v>2025.0</v>
      </c>
      <c r="B202" s="3" t="s">
        <v>99</v>
      </c>
      <c r="C202" s="1" t="s">
        <v>109</v>
      </c>
      <c r="F202" s="3" t="s">
        <v>15</v>
      </c>
      <c r="H202" s="3" t="s">
        <v>135</v>
      </c>
      <c r="L202" s="3">
        <v>1.0</v>
      </c>
      <c r="M202" s="3"/>
      <c r="N202" s="9">
        <v>1200.0</v>
      </c>
      <c r="P202" s="4">
        <f t="shared" si="21"/>
        <v>1200</v>
      </c>
    </row>
    <row r="203">
      <c r="A203" s="3">
        <v>2025.0</v>
      </c>
      <c r="B203" s="3" t="s">
        <v>99</v>
      </c>
      <c r="C203" s="1" t="s">
        <v>109</v>
      </c>
      <c r="F203" s="3" t="s">
        <v>15</v>
      </c>
      <c r="H203" s="3" t="s">
        <v>72</v>
      </c>
      <c r="L203" s="3">
        <v>1.0</v>
      </c>
      <c r="M203" s="3"/>
      <c r="N203" s="8">
        <v>8700.0</v>
      </c>
      <c r="P203" s="4">
        <f t="shared" si="21"/>
        <v>8700</v>
      </c>
    </row>
    <row r="204">
      <c r="A204" s="3">
        <v>2025.0</v>
      </c>
      <c r="B204" s="3" t="s">
        <v>99</v>
      </c>
      <c r="C204" s="1" t="s">
        <v>109</v>
      </c>
      <c r="F204" s="3" t="s">
        <v>15</v>
      </c>
      <c r="H204" s="3" t="s">
        <v>123</v>
      </c>
      <c r="L204" s="3">
        <v>1.0</v>
      </c>
      <c r="N204" s="3">
        <v>11990.0</v>
      </c>
      <c r="P204" s="4">
        <f t="shared" si="21"/>
        <v>11990</v>
      </c>
    </row>
    <row r="205">
      <c r="A205" s="3">
        <v>2025.0</v>
      </c>
      <c r="B205" s="3" t="s">
        <v>99</v>
      </c>
      <c r="C205" s="1" t="s">
        <v>109</v>
      </c>
      <c r="F205" s="3" t="s">
        <v>15</v>
      </c>
      <c r="H205" s="3" t="s">
        <v>68</v>
      </c>
      <c r="L205" s="3">
        <v>1.0</v>
      </c>
      <c r="M205" s="3"/>
      <c r="N205" s="8">
        <v>4570.0</v>
      </c>
      <c r="P205" s="4">
        <f t="shared" si="21"/>
        <v>4570</v>
      </c>
    </row>
    <row r="206">
      <c r="A206" s="3">
        <v>2025.0</v>
      </c>
      <c r="B206" s="3" t="s">
        <v>99</v>
      </c>
      <c r="C206" s="1" t="s">
        <v>109</v>
      </c>
      <c r="F206" s="3" t="s">
        <v>15</v>
      </c>
      <c r="H206" s="3" t="s">
        <v>136</v>
      </c>
      <c r="L206" s="3">
        <v>1.0</v>
      </c>
      <c r="M206" s="3"/>
      <c r="N206" s="3">
        <v>4950.0</v>
      </c>
      <c r="P206" s="4">
        <f t="shared" si="21"/>
        <v>4950</v>
      </c>
    </row>
    <row r="207">
      <c r="A207" s="3">
        <v>2025.0</v>
      </c>
      <c r="B207" s="3" t="s">
        <v>99</v>
      </c>
      <c r="C207" s="1" t="s">
        <v>109</v>
      </c>
      <c r="F207" s="3" t="s">
        <v>15</v>
      </c>
      <c r="H207" s="3" t="s">
        <v>77</v>
      </c>
      <c r="L207" s="3">
        <v>2.0</v>
      </c>
      <c r="M207" s="3"/>
      <c r="N207" s="3">
        <v>1950.0</v>
      </c>
      <c r="P207" s="4">
        <f t="shared" si="21"/>
        <v>3900</v>
      </c>
    </row>
    <row r="208">
      <c r="A208" s="3">
        <v>2025.0</v>
      </c>
      <c r="B208" s="3" t="s">
        <v>99</v>
      </c>
      <c r="C208" s="1" t="s">
        <v>109</v>
      </c>
      <c r="F208" s="3" t="s">
        <v>15</v>
      </c>
      <c r="H208" s="3" t="s">
        <v>73</v>
      </c>
      <c r="L208" s="3">
        <v>1.0</v>
      </c>
      <c r="M208" s="3"/>
      <c r="N208" s="8">
        <v>2600.0</v>
      </c>
      <c r="P208" s="4">
        <f t="shared" si="21"/>
        <v>2600</v>
      </c>
    </row>
    <row r="209">
      <c r="A209" s="5" t="s">
        <v>12</v>
      </c>
      <c r="F209" s="6"/>
      <c r="G209" s="6"/>
      <c r="H209" s="6"/>
      <c r="I209" s="6"/>
      <c r="J209" s="6"/>
      <c r="K209" s="6"/>
      <c r="L209" s="6"/>
      <c r="M209" s="6"/>
      <c r="N209" s="6"/>
      <c r="O209" s="10" t="str">
        <f>CHANGE(P155,P209)</f>
        <v>#NAME?</v>
      </c>
      <c r="P209" s="7">
        <f>SUM(P199:P208)</f>
        <v>57080</v>
      </c>
    </row>
    <row r="210">
      <c r="A210" s="3">
        <v>2025.0</v>
      </c>
      <c r="B210" s="3" t="s">
        <v>137</v>
      </c>
      <c r="C210" s="1" t="s">
        <v>14</v>
      </c>
      <c r="F210" s="3" t="s">
        <v>15</v>
      </c>
      <c r="H210" s="3" t="s">
        <v>123</v>
      </c>
      <c r="L210" s="3">
        <v>1.0</v>
      </c>
      <c r="N210" s="3">
        <v>11990.0</v>
      </c>
      <c r="P210" s="4">
        <f t="shared" ref="P210:P226" si="22">N210*L210</f>
        <v>11990</v>
      </c>
    </row>
    <row r="211">
      <c r="A211" s="3">
        <v>2025.0</v>
      </c>
      <c r="B211" s="3" t="s">
        <v>137</v>
      </c>
      <c r="C211" s="1" t="s">
        <v>14</v>
      </c>
      <c r="F211" s="3" t="s">
        <v>15</v>
      </c>
      <c r="H211" s="3" t="s">
        <v>138</v>
      </c>
      <c r="L211" s="3">
        <v>1.0</v>
      </c>
      <c r="M211" s="3"/>
      <c r="N211" s="9">
        <v>5990.0</v>
      </c>
      <c r="P211" s="4">
        <f t="shared" si="22"/>
        <v>5990</v>
      </c>
    </row>
    <row r="212">
      <c r="A212" s="3">
        <v>2025.0</v>
      </c>
      <c r="B212" s="3" t="s">
        <v>137</v>
      </c>
      <c r="C212" s="1" t="s">
        <v>14</v>
      </c>
      <c r="F212" s="3" t="s">
        <v>15</v>
      </c>
      <c r="H212" s="3" t="s">
        <v>64</v>
      </c>
      <c r="L212" s="3">
        <v>2.0</v>
      </c>
      <c r="M212" s="3"/>
      <c r="N212" s="9">
        <v>4990.0</v>
      </c>
      <c r="P212" s="4">
        <f t="shared" si="22"/>
        <v>9980</v>
      </c>
    </row>
    <row r="213">
      <c r="A213" s="3">
        <v>2025.0</v>
      </c>
      <c r="B213" s="3" t="s">
        <v>137</v>
      </c>
      <c r="C213" s="1" t="s">
        <v>14</v>
      </c>
      <c r="F213" s="3" t="s">
        <v>15</v>
      </c>
      <c r="H213" s="3" t="s">
        <v>139</v>
      </c>
      <c r="L213" s="3">
        <v>1.0</v>
      </c>
      <c r="M213" s="3"/>
      <c r="N213" s="9">
        <v>9990.0</v>
      </c>
      <c r="P213" s="4">
        <f t="shared" si="22"/>
        <v>9990</v>
      </c>
    </row>
    <row r="214">
      <c r="A214" s="3">
        <v>2025.0</v>
      </c>
      <c r="B214" s="3" t="s">
        <v>137</v>
      </c>
      <c r="C214" s="1" t="s">
        <v>14</v>
      </c>
      <c r="F214" s="3" t="s">
        <v>15</v>
      </c>
      <c r="H214" s="3" t="s">
        <v>66</v>
      </c>
      <c r="L214" s="3">
        <v>1.0</v>
      </c>
      <c r="M214" s="3"/>
      <c r="N214" s="9">
        <v>1150.0</v>
      </c>
      <c r="P214" s="4">
        <f t="shared" si="22"/>
        <v>1150</v>
      </c>
    </row>
    <row r="215">
      <c r="A215" s="3">
        <v>2025.0</v>
      </c>
      <c r="B215" s="3" t="s">
        <v>137</v>
      </c>
      <c r="C215" s="1" t="s">
        <v>14</v>
      </c>
      <c r="F215" s="3" t="s">
        <v>15</v>
      </c>
      <c r="H215" s="3" t="s">
        <v>67</v>
      </c>
      <c r="L215" s="3">
        <v>1.0</v>
      </c>
      <c r="M215" s="3"/>
      <c r="N215" s="8">
        <v>2450.0</v>
      </c>
      <c r="P215" s="4">
        <f t="shared" si="22"/>
        <v>2450</v>
      </c>
    </row>
    <row r="216">
      <c r="A216" s="3">
        <v>2025.0</v>
      </c>
      <c r="B216" s="3" t="s">
        <v>137</v>
      </c>
      <c r="C216" s="1" t="s">
        <v>14</v>
      </c>
      <c r="F216" s="3" t="s">
        <v>15</v>
      </c>
      <c r="H216" s="3" t="s">
        <v>129</v>
      </c>
      <c r="L216" s="3">
        <v>1.0</v>
      </c>
      <c r="M216" s="3"/>
      <c r="N216" s="9">
        <v>4950.0</v>
      </c>
      <c r="P216" s="4">
        <f t="shared" si="22"/>
        <v>4950</v>
      </c>
    </row>
    <row r="217">
      <c r="A217" s="3">
        <v>2025.0</v>
      </c>
      <c r="B217" s="3" t="s">
        <v>137</v>
      </c>
      <c r="C217" s="1" t="s">
        <v>14</v>
      </c>
      <c r="F217" s="3" t="s">
        <v>15</v>
      </c>
      <c r="H217" s="3" t="s">
        <v>140</v>
      </c>
      <c r="L217" s="3">
        <v>1.0</v>
      </c>
      <c r="M217" s="3"/>
      <c r="N217" s="3">
        <v>1750.0</v>
      </c>
      <c r="P217" s="4">
        <f t="shared" si="22"/>
        <v>1750</v>
      </c>
    </row>
    <row r="218">
      <c r="A218" s="3">
        <v>2025.0</v>
      </c>
      <c r="B218" s="3" t="s">
        <v>137</v>
      </c>
      <c r="C218" s="1" t="s">
        <v>14</v>
      </c>
      <c r="F218" s="3" t="s">
        <v>15</v>
      </c>
      <c r="H218" s="3" t="s">
        <v>70</v>
      </c>
      <c r="L218" s="3">
        <v>1.0</v>
      </c>
      <c r="M218" s="3"/>
      <c r="N218" s="8">
        <v>6450.0</v>
      </c>
      <c r="P218" s="4">
        <f t="shared" si="22"/>
        <v>6450</v>
      </c>
    </row>
    <row r="219">
      <c r="A219" s="3">
        <v>2025.0</v>
      </c>
      <c r="B219" s="3" t="s">
        <v>137</v>
      </c>
      <c r="C219" s="1" t="s">
        <v>14</v>
      </c>
      <c r="F219" s="3" t="s">
        <v>15</v>
      </c>
      <c r="H219" s="3" t="s">
        <v>136</v>
      </c>
      <c r="L219" s="3">
        <v>1.0</v>
      </c>
      <c r="M219" s="3"/>
      <c r="N219" s="3">
        <v>4950.0</v>
      </c>
      <c r="P219" s="4">
        <f t="shared" si="22"/>
        <v>4950</v>
      </c>
    </row>
    <row r="220">
      <c r="A220" s="3">
        <v>2025.0</v>
      </c>
      <c r="B220" s="3" t="s">
        <v>137</v>
      </c>
      <c r="C220" s="1" t="s">
        <v>14</v>
      </c>
      <c r="F220" s="3" t="s">
        <v>15</v>
      </c>
      <c r="H220" s="3" t="s">
        <v>72</v>
      </c>
      <c r="L220" s="3">
        <v>1.0</v>
      </c>
      <c r="M220" s="3"/>
      <c r="N220" s="8">
        <v>8700.0</v>
      </c>
      <c r="P220" s="4">
        <f t="shared" si="22"/>
        <v>8700</v>
      </c>
    </row>
    <row r="221">
      <c r="A221" s="3">
        <v>2025.0</v>
      </c>
      <c r="B221" s="3" t="s">
        <v>137</v>
      </c>
      <c r="C221" s="1" t="s">
        <v>14</v>
      </c>
      <c r="F221" s="3" t="s">
        <v>15</v>
      </c>
      <c r="H221" s="3" t="s">
        <v>135</v>
      </c>
      <c r="L221" s="3">
        <v>1.0</v>
      </c>
      <c r="M221" s="3"/>
      <c r="N221" s="9">
        <v>1150.0</v>
      </c>
      <c r="P221" s="4">
        <f t="shared" si="22"/>
        <v>1150</v>
      </c>
    </row>
    <row r="222">
      <c r="A222" s="3">
        <v>2025.0</v>
      </c>
      <c r="B222" s="3" t="s">
        <v>137</v>
      </c>
      <c r="C222" s="1" t="s">
        <v>14</v>
      </c>
      <c r="F222" s="3" t="s">
        <v>15</v>
      </c>
      <c r="H222" s="3" t="s">
        <v>74</v>
      </c>
      <c r="L222" s="3">
        <v>1.0</v>
      </c>
      <c r="M222" s="3"/>
      <c r="N222" s="8">
        <v>3790.0</v>
      </c>
      <c r="P222" s="4">
        <f t="shared" si="22"/>
        <v>3790</v>
      </c>
    </row>
    <row r="223">
      <c r="A223" s="3">
        <v>2025.0</v>
      </c>
      <c r="B223" s="3" t="s">
        <v>137</v>
      </c>
      <c r="C223" s="1" t="s">
        <v>14</v>
      </c>
      <c r="F223" s="3" t="s">
        <v>15</v>
      </c>
      <c r="H223" s="3" t="s">
        <v>75</v>
      </c>
      <c r="L223" s="3">
        <v>1.0</v>
      </c>
      <c r="M223" s="3"/>
      <c r="N223" s="9">
        <v>4490.0</v>
      </c>
      <c r="P223" s="4">
        <f t="shared" si="22"/>
        <v>4490</v>
      </c>
    </row>
    <row r="224">
      <c r="A224" s="3">
        <v>2025.0</v>
      </c>
      <c r="B224" s="3" t="s">
        <v>137</v>
      </c>
      <c r="C224" s="1" t="s">
        <v>14</v>
      </c>
      <c r="F224" s="3" t="s">
        <v>15</v>
      </c>
      <c r="H224" s="3" t="s">
        <v>125</v>
      </c>
      <c r="L224" s="3">
        <v>1.0</v>
      </c>
      <c r="N224" s="3">
        <v>4250.0</v>
      </c>
      <c r="P224" s="4">
        <f t="shared" si="22"/>
        <v>4250</v>
      </c>
    </row>
    <row r="225">
      <c r="A225" s="3">
        <v>2025.0</v>
      </c>
      <c r="B225" s="3" t="s">
        <v>137</v>
      </c>
      <c r="C225" s="1" t="s">
        <v>14</v>
      </c>
      <c r="F225" s="3" t="s">
        <v>15</v>
      </c>
      <c r="H225" s="3" t="s">
        <v>77</v>
      </c>
      <c r="L225" s="3">
        <v>3.0</v>
      </c>
      <c r="M225" s="3"/>
      <c r="N225" s="3">
        <v>1950.0</v>
      </c>
      <c r="P225" s="4">
        <f t="shared" si="22"/>
        <v>5850</v>
      </c>
    </row>
    <row r="226">
      <c r="A226" s="3">
        <v>2025.0</v>
      </c>
      <c r="B226" s="3" t="s">
        <v>137</v>
      </c>
      <c r="C226" s="1" t="s">
        <v>14</v>
      </c>
      <c r="F226" s="3" t="s">
        <v>15</v>
      </c>
      <c r="G226" s="3" t="s">
        <v>16</v>
      </c>
      <c r="H226" s="3" t="s">
        <v>78</v>
      </c>
      <c r="L226" s="3">
        <v>1.0</v>
      </c>
      <c r="M226" s="3"/>
      <c r="N226" s="3">
        <v>7990.0</v>
      </c>
      <c r="P226" s="4">
        <f t="shared" si="22"/>
        <v>7990</v>
      </c>
    </row>
    <row r="227">
      <c r="A227" s="5" t="s">
        <v>12</v>
      </c>
      <c r="F227" s="6"/>
      <c r="G227" s="6"/>
      <c r="H227" s="6"/>
      <c r="I227" s="6"/>
      <c r="J227" s="6"/>
      <c r="K227" s="6"/>
      <c r="L227" s="6"/>
      <c r="M227" s="6"/>
      <c r="N227" s="6"/>
      <c r="O227" s="10" t="str">
        <f>CHANGE(P173,P227)</f>
        <v>#NAME?</v>
      </c>
      <c r="P227" s="7">
        <f>SUM(P210:P226)</f>
        <v>95870</v>
      </c>
    </row>
    <row r="228">
      <c r="A228" s="3">
        <v>2025.0</v>
      </c>
      <c r="B228" s="3" t="s">
        <v>141</v>
      </c>
      <c r="C228" s="1" t="s">
        <v>14</v>
      </c>
      <c r="F228" s="3" t="s">
        <v>15</v>
      </c>
      <c r="H228" s="3" t="s">
        <v>123</v>
      </c>
      <c r="L228" s="3">
        <v>1.0</v>
      </c>
      <c r="N228" s="3">
        <v>11990.0</v>
      </c>
      <c r="P228" s="4">
        <f t="shared" ref="P228:P243" si="23">N228*L228</f>
        <v>11990</v>
      </c>
    </row>
    <row r="229">
      <c r="A229" s="3">
        <v>2025.0</v>
      </c>
      <c r="B229" s="3" t="s">
        <v>141</v>
      </c>
      <c r="C229" s="1" t="s">
        <v>14</v>
      </c>
      <c r="F229" s="3" t="s">
        <v>15</v>
      </c>
      <c r="H229" s="3" t="s">
        <v>138</v>
      </c>
      <c r="L229" s="3">
        <v>1.0</v>
      </c>
      <c r="M229" s="3"/>
      <c r="N229" s="9">
        <v>5990.0</v>
      </c>
      <c r="P229" s="4">
        <f t="shared" si="23"/>
        <v>5990</v>
      </c>
    </row>
    <row r="230">
      <c r="A230" s="3">
        <v>2025.0</v>
      </c>
      <c r="B230" s="3" t="s">
        <v>141</v>
      </c>
      <c r="C230" s="1" t="s">
        <v>14</v>
      </c>
      <c r="F230" s="3" t="s">
        <v>15</v>
      </c>
      <c r="H230" s="3" t="s">
        <v>64</v>
      </c>
      <c r="L230" s="3">
        <v>2.0</v>
      </c>
      <c r="M230" s="3"/>
      <c r="N230" s="9">
        <v>4990.0</v>
      </c>
      <c r="P230" s="4">
        <f t="shared" si="23"/>
        <v>9980</v>
      </c>
    </row>
    <row r="231">
      <c r="A231" s="3">
        <v>2025.0</v>
      </c>
      <c r="B231" s="3" t="s">
        <v>141</v>
      </c>
      <c r="C231" s="1" t="s">
        <v>14</v>
      </c>
      <c r="F231" s="3" t="s">
        <v>15</v>
      </c>
      <c r="H231" s="3" t="s">
        <v>62</v>
      </c>
      <c r="L231" s="3">
        <v>1.0</v>
      </c>
      <c r="M231" s="3"/>
      <c r="N231" s="9">
        <v>2200.0</v>
      </c>
      <c r="P231" s="4">
        <f t="shared" si="23"/>
        <v>2200</v>
      </c>
    </row>
    <row r="232">
      <c r="A232" s="3">
        <v>2025.0</v>
      </c>
      <c r="B232" s="3" t="s">
        <v>141</v>
      </c>
      <c r="C232" s="1" t="s">
        <v>14</v>
      </c>
      <c r="F232" s="3" t="s">
        <v>15</v>
      </c>
      <c r="H232" s="3" t="s">
        <v>66</v>
      </c>
      <c r="L232" s="3">
        <v>1.0</v>
      </c>
      <c r="M232" s="3"/>
      <c r="N232" s="9">
        <v>1200.0</v>
      </c>
      <c r="P232" s="4">
        <f t="shared" si="23"/>
        <v>1200</v>
      </c>
    </row>
    <row r="233">
      <c r="A233" s="3">
        <v>2025.0</v>
      </c>
      <c r="B233" s="3" t="s">
        <v>141</v>
      </c>
      <c r="C233" s="1" t="s">
        <v>14</v>
      </c>
      <c r="F233" s="3" t="s">
        <v>15</v>
      </c>
      <c r="H233" s="3" t="s">
        <v>71</v>
      </c>
      <c r="L233" s="3">
        <v>1.0</v>
      </c>
      <c r="M233" s="3"/>
      <c r="N233" s="9">
        <v>5350.0</v>
      </c>
      <c r="P233" s="4">
        <f t="shared" si="23"/>
        <v>5350</v>
      </c>
    </row>
    <row r="234">
      <c r="A234" s="3">
        <v>2025.0</v>
      </c>
      <c r="B234" s="3" t="s">
        <v>141</v>
      </c>
      <c r="C234" s="1" t="s">
        <v>14</v>
      </c>
      <c r="F234" s="3" t="s">
        <v>15</v>
      </c>
      <c r="H234" s="3" t="s">
        <v>129</v>
      </c>
      <c r="L234" s="3">
        <v>1.0</v>
      </c>
      <c r="M234" s="3"/>
      <c r="N234" s="9">
        <v>4950.0</v>
      </c>
      <c r="P234" s="4">
        <f t="shared" si="23"/>
        <v>4950</v>
      </c>
    </row>
    <row r="235">
      <c r="A235" s="3">
        <v>2025.0</v>
      </c>
      <c r="B235" s="3" t="s">
        <v>141</v>
      </c>
      <c r="C235" s="1" t="s">
        <v>14</v>
      </c>
      <c r="F235" s="3" t="s">
        <v>15</v>
      </c>
      <c r="H235" s="3" t="s">
        <v>142</v>
      </c>
      <c r="L235" s="3">
        <v>1.0</v>
      </c>
      <c r="M235" s="3"/>
      <c r="N235" s="3">
        <v>2900.0</v>
      </c>
      <c r="P235" s="4">
        <f t="shared" si="23"/>
        <v>2900</v>
      </c>
    </row>
    <row r="236">
      <c r="A236" s="3">
        <v>2025.0</v>
      </c>
      <c r="B236" s="3" t="s">
        <v>141</v>
      </c>
      <c r="C236" s="1" t="s">
        <v>14</v>
      </c>
      <c r="F236" s="3" t="s">
        <v>15</v>
      </c>
      <c r="H236" s="3" t="s">
        <v>143</v>
      </c>
      <c r="L236" s="3">
        <v>1.0</v>
      </c>
      <c r="M236" s="3"/>
      <c r="N236" s="9">
        <v>5450.0</v>
      </c>
      <c r="P236" s="4">
        <f t="shared" si="23"/>
        <v>5450</v>
      </c>
    </row>
    <row r="237">
      <c r="A237" s="3">
        <v>2025.0</v>
      </c>
      <c r="B237" s="3" t="s">
        <v>141</v>
      </c>
      <c r="C237" s="1" t="s">
        <v>14</v>
      </c>
      <c r="F237" s="3" t="s">
        <v>15</v>
      </c>
      <c r="H237" s="3" t="s">
        <v>136</v>
      </c>
      <c r="L237" s="3">
        <v>1.0</v>
      </c>
      <c r="M237" s="3"/>
      <c r="N237" s="3">
        <v>4950.0</v>
      </c>
      <c r="P237" s="4">
        <f t="shared" si="23"/>
        <v>4950</v>
      </c>
    </row>
    <row r="238">
      <c r="A238" s="3">
        <v>2025.0</v>
      </c>
      <c r="B238" s="3" t="s">
        <v>141</v>
      </c>
      <c r="C238" s="1" t="s">
        <v>14</v>
      </c>
      <c r="F238" s="3" t="s">
        <v>15</v>
      </c>
      <c r="H238" s="3" t="s">
        <v>72</v>
      </c>
      <c r="L238" s="3">
        <v>1.0</v>
      </c>
      <c r="M238" s="3"/>
      <c r="N238" s="8">
        <v>8700.0</v>
      </c>
      <c r="P238" s="4">
        <f t="shared" si="23"/>
        <v>8700</v>
      </c>
    </row>
    <row r="239">
      <c r="A239" s="3">
        <v>2025.0</v>
      </c>
      <c r="B239" s="3" t="s">
        <v>141</v>
      </c>
      <c r="C239" s="1" t="s">
        <v>14</v>
      </c>
      <c r="F239" s="3" t="s">
        <v>15</v>
      </c>
      <c r="H239" s="3" t="s">
        <v>135</v>
      </c>
      <c r="L239" s="3">
        <v>1.0</v>
      </c>
      <c r="M239" s="3"/>
      <c r="N239" s="9">
        <v>1200.0</v>
      </c>
      <c r="P239" s="4">
        <f t="shared" si="23"/>
        <v>1200</v>
      </c>
    </row>
    <row r="240">
      <c r="A240" s="3">
        <v>2025.0</v>
      </c>
      <c r="B240" s="3" t="s">
        <v>141</v>
      </c>
      <c r="C240" s="1" t="s">
        <v>14</v>
      </c>
      <c r="F240" s="3" t="s">
        <v>15</v>
      </c>
      <c r="H240" s="3" t="s">
        <v>74</v>
      </c>
      <c r="L240" s="3">
        <v>1.0</v>
      </c>
      <c r="M240" s="3"/>
      <c r="N240" s="8">
        <v>3790.0</v>
      </c>
      <c r="P240" s="4">
        <f t="shared" si="23"/>
        <v>3790</v>
      </c>
    </row>
    <row r="241">
      <c r="A241" s="3">
        <v>2025.0</v>
      </c>
      <c r="B241" s="3" t="s">
        <v>141</v>
      </c>
      <c r="C241" s="1" t="s">
        <v>14</v>
      </c>
      <c r="F241" s="3" t="s">
        <v>15</v>
      </c>
      <c r="H241" s="3" t="s">
        <v>125</v>
      </c>
      <c r="L241" s="3">
        <v>1.0</v>
      </c>
      <c r="N241" s="3">
        <v>4250.0</v>
      </c>
      <c r="P241" s="4">
        <f t="shared" si="23"/>
        <v>4250</v>
      </c>
    </row>
    <row r="242">
      <c r="A242" s="3">
        <v>2025.0</v>
      </c>
      <c r="B242" s="3" t="s">
        <v>141</v>
      </c>
      <c r="C242" s="1" t="s">
        <v>14</v>
      </c>
      <c r="F242" s="3" t="s">
        <v>15</v>
      </c>
      <c r="H242" s="3" t="s">
        <v>77</v>
      </c>
      <c r="L242" s="3">
        <v>3.0</v>
      </c>
      <c r="M242" s="3"/>
      <c r="N242" s="3">
        <v>1950.0</v>
      </c>
      <c r="P242" s="4">
        <f t="shared" si="23"/>
        <v>5850</v>
      </c>
    </row>
    <row r="243">
      <c r="A243" s="3">
        <v>2025.0</v>
      </c>
      <c r="B243" s="3" t="s">
        <v>141</v>
      </c>
      <c r="C243" s="1" t="s">
        <v>14</v>
      </c>
      <c r="F243" s="3" t="s">
        <v>15</v>
      </c>
      <c r="H243" s="3" t="s">
        <v>78</v>
      </c>
      <c r="L243" s="3">
        <v>1.0</v>
      </c>
      <c r="M243" s="3"/>
      <c r="N243" s="3">
        <v>7990.0</v>
      </c>
      <c r="P243" s="4">
        <f t="shared" si="23"/>
        <v>7990</v>
      </c>
    </row>
    <row r="244">
      <c r="A244" s="5" t="s">
        <v>12</v>
      </c>
      <c r="F244" s="6"/>
      <c r="G244" s="6"/>
      <c r="H244" s="6"/>
      <c r="I244" s="6"/>
      <c r="J244" s="6"/>
      <c r="K244" s="6"/>
      <c r="L244" s="6"/>
      <c r="M244" s="6"/>
      <c r="N244" s="6"/>
      <c r="O244" s="10" t="str">
        <f>CHANGE(P194,P244)</f>
        <v>#NAME?</v>
      </c>
      <c r="P244" s="7">
        <f>SUM(P228:P243)</f>
        <v>86740</v>
      </c>
    </row>
    <row r="245">
      <c r="A245" s="3">
        <v>2025.0</v>
      </c>
      <c r="B245" s="3" t="s">
        <v>144</v>
      </c>
      <c r="C245" s="1" t="s">
        <v>14</v>
      </c>
      <c r="F245" s="3" t="s">
        <v>15</v>
      </c>
      <c r="H245" s="3" t="s">
        <v>68</v>
      </c>
      <c r="L245" s="3">
        <v>1.0</v>
      </c>
      <c r="M245" s="3"/>
      <c r="N245" s="8">
        <v>4570.0</v>
      </c>
      <c r="P245" s="4">
        <f t="shared" ref="P245:P261" si="24">N245*L245</f>
        <v>4570</v>
      </c>
    </row>
    <row r="246">
      <c r="A246" s="3">
        <v>2025.0</v>
      </c>
      <c r="B246" s="3" t="s">
        <v>144</v>
      </c>
      <c r="C246" s="1" t="s">
        <v>14</v>
      </c>
      <c r="F246" s="3" t="s">
        <v>15</v>
      </c>
      <c r="H246" s="3" t="s">
        <v>145</v>
      </c>
      <c r="L246" s="3">
        <v>1.0</v>
      </c>
      <c r="M246" s="3"/>
      <c r="N246" s="9">
        <v>3400.0</v>
      </c>
      <c r="P246" s="4">
        <f t="shared" si="24"/>
        <v>3400</v>
      </c>
    </row>
    <row r="247">
      <c r="A247" s="3">
        <v>2025.0</v>
      </c>
      <c r="B247" s="3" t="s">
        <v>144</v>
      </c>
      <c r="C247" s="1" t="s">
        <v>14</v>
      </c>
      <c r="F247" s="3" t="s">
        <v>15</v>
      </c>
      <c r="H247" s="3" t="s">
        <v>146</v>
      </c>
      <c r="L247" s="3">
        <v>1.0</v>
      </c>
      <c r="M247" s="3"/>
      <c r="N247" s="9">
        <v>1800.0</v>
      </c>
      <c r="P247" s="4">
        <f t="shared" si="24"/>
        <v>1800</v>
      </c>
    </row>
    <row r="248">
      <c r="A248" s="3">
        <v>2025.0</v>
      </c>
      <c r="B248" s="3" t="s">
        <v>144</v>
      </c>
      <c r="C248" s="1" t="s">
        <v>14</v>
      </c>
      <c r="F248" s="3" t="s">
        <v>15</v>
      </c>
      <c r="H248" s="3" t="s">
        <v>70</v>
      </c>
      <c r="L248" s="3">
        <v>1.0</v>
      </c>
      <c r="M248" s="3"/>
      <c r="N248" s="8">
        <v>6450.0</v>
      </c>
      <c r="P248" s="4">
        <f t="shared" si="24"/>
        <v>6450</v>
      </c>
    </row>
    <row r="249">
      <c r="A249" s="3">
        <v>2025.0</v>
      </c>
      <c r="B249" s="3" t="s">
        <v>144</v>
      </c>
      <c r="C249" s="1" t="s">
        <v>14</v>
      </c>
      <c r="F249" s="3" t="s">
        <v>15</v>
      </c>
      <c r="H249" s="3" t="s">
        <v>66</v>
      </c>
      <c r="L249" s="3">
        <v>1.0</v>
      </c>
      <c r="M249" s="3"/>
      <c r="N249" s="9">
        <v>1200.0</v>
      </c>
      <c r="P249" s="4">
        <f t="shared" si="24"/>
        <v>1200</v>
      </c>
    </row>
    <row r="250">
      <c r="A250" s="3">
        <v>2025.0</v>
      </c>
      <c r="B250" s="3" t="s">
        <v>144</v>
      </c>
      <c r="C250" s="1" t="s">
        <v>14</v>
      </c>
      <c r="F250" s="3" t="s">
        <v>15</v>
      </c>
      <c r="H250" s="3" t="s">
        <v>71</v>
      </c>
      <c r="L250" s="3">
        <v>1.0</v>
      </c>
      <c r="M250" s="3"/>
      <c r="N250" s="9">
        <v>5350.0</v>
      </c>
      <c r="P250" s="4">
        <f t="shared" si="24"/>
        <v>5350</v>
      </c>
    </row>
    <row r="251">
      <c r="A251" s="3">
        <v>2025.0</v>
      </c>
      <c r="B251" s="3" t="s">
        <v>144</v>
      </c>
      <c r="C251" s="1" t="s">
        <v>14</v>
      </c>
      <c r="F251" s="3" t="s">
        <v>15</v>
      </c>
      <c r="H251" s="3" t="s">
        <v>147</v>
      </c>
      <c r="L251" s="3">
        <v>2.0</v>
      </c>
      <c r="M251" s="3"/>
      <c r="N251" s="9">
        <v>6990.0</v>
      </c>
      <c r="P251" s="4">
        <f t="shared" si="24"/>
        <v>13980</v>
      </c>
    </row>
    <row r="252">
      <c r="A252" s="3">
        <v>2025.0</v>
      </c>
      <c r="B252" s="3" t="s">
        <v>144</v>
      </c>
      <c r="C252" s="1" t="s">
        <v>14</v>
      </c>
      <c r="F252" s="3" t="s">
        <v>15</v>
      </c>
      <c r="H252" s="3" t="s">
        <v>139</v>
      </c>
      <c r="L252" s="3">
        <v>1.0</v>
      </c>
      <c r="M252" s="3"/>
      <c r="N252" s="9">
        <v>9990.0</v>
      </c>
      <c r="P252" s="4">
        <f t="shared" si="24"/>
        <v>9990</v>
      </c>
    </row>
    <row r="253">
      <c r="A253" s="3">
        <v>2025.0</v>
      </c>
      <c r="B253" s="3" t="s">
        <v>144</v>
      </c>
      <c r="C253" s="1" t="s">
        <v>14</v>
      </c>
      <c r="F253" s="3" t="s">
        <v>15</v>
      </c>
      <c r="H253" s="3" t="s">
        <v>143</v>
      </c>
      <c r="L253" s="3">
        <v>1.0</v>
      </c>
      <c r="M253" s="3"/>
      <c r="N253" s="9">
        <v>4950.0</v>
      </c>
      <c r="P253" s="4">
        <f t="shared" si="24"/>
        <v>4950</v>
      </c>
    </row>
    <row r="254">
      <c r="A254" s="3">
        <v>2025.0</v>
      </c>
      <c r="B254" s="3" t="s">
        <v>144</v>
      </c>
      <c r="C254" s="1" t="s">
        <v>14</v>
      </c>
      <c r="F254" s="3" t="s">
        <v>15</v>
      </c>
      <c r="H254" s="3" t="s">
        <v>136</v>
      </c>
      <c r="L254" s="3">
        <v>1.0</v>
      </c>
      <c r="M254" s="3"/>
      <c r="N254" s="3">
        <v>4950.0</v>
      </c>
      <c r="P254" s="4">
        <f t="shared" si="24"/>
        <v>4950</v>
      </c>
    </row>
    <row r="255">
      <c r="A255" s="3">
        <v>2025.0</v>
      </c>
      <c r="B255" s="3" t="s">
        <v>144</v>
      </c>
      <c r="C255" s="1" t="s">
        <v>14</v>
      </c>
      <c r="F255" s="3" t="s">
        <v>15</v>
      </c>
      <c r="H255" s="3" t="s">
        <v>72</v>
      </c>
      <c r="L255" s="3">
        <v>1.0</v>
      </c>
      <c r="M255" s="3"/>
      <c r="N255" s="8">
        <v>8700.0</v>
      </c>
      <c r="P255" s="4">
        <f t="shared" si="24"/>
        <v>8700</v>
      </c>
    </row>
    <row r="256">
      <c r="A256" s="3">
        <v>2025.0</v>
      </c>
      <c r="B256" s="3" t="s">
        <v>144</v>
      </c>
      <c r="C256" s="1" t="s">
        <v>14</v>
      </c>
      <c r="F256" s="3" t="s">
        <v>15</v>
      </c>
      <c r="H256" s="3" t="s">
        <v>69</v>
      </c>
      <c r="L256" s="3">
        <v>3.0</v>
      </c>
      <c r="M256" s="3"/>
      <c r="N256" s="3">
        <v>1990.0</v>
      </c>
      <c r="P256" s="4">
        <f t="shared" si="24"/>
        <v>5970</v>
      </c>
    </row>
    <row r="257">
      <c r="A257" s="3">
        <v>2025.0</v>
      </c>
      <c r="B257" s="3" t="s">
        <v>144</v>
      </c>
      <c r="C257" s="1" t="s">
        <v>14</v>
      </c>
      <c r="F257" s="3" t="s">
        <v>15</v>
      </c>
      <c r="H257" s="3" t="s">
        <v>148</v>
      </c>
      <c r="L257" s="3">
        <v>1.0</v>
      </c>
      <c r="M257" s="3"/>
      <c r="N257" s="9">
        <v>4490.0</v>
      </c>
      <c r="P257" s="4">
        <f t="shared" si="24"/>
        <v>4490</v>
      </c>
    </row>
    <row r="258">
      <c r="A258" s="3">
        <v>2025.0</v>
      </c>
      <c r="B258" s="3" t="s">
        <v>144</v>
      </c>
      <c r="C258" s="1" t="s">
        <v>14</v>
      </c>
      <c r="F258" s="3" t="s">
        <v>15</v>
      </c>
      <c r="H258" s="3" t="s">
        <v>149</v>
      </c>
      <c r="L258" s="3">
        <v>2.0</v>
      </c>
      <c r="N258" s="3">
        <v>2300.0</v>
      </c>
      <c r="P258" s="4">
        <f t="shared" si="24"/>
        <v>4600</v>
      </c>
    </row>
    <row r="259">
      <c r="A259" s="3">
        <v>2025.0</v>
      </c>
      <c r="B259" s="3" t="s">
        <v>144</v>
      </c>
      <c r="C259" s="1" t="s">
        <v>14</v>
      </c>
      <c r="F259" s="3" t="s">
        <v>15</v>
      </c>
      <c r="H259" s="3" t="s">
        <v>77</v>
      </c>
      <c r="L259" s="3">
        <v>3.0</v>
      </c>
      <c r="M259" s="3"/>
      <c r="N259" s="3">
        <v>1950.0</v>
      </c>
      <c r="P259" s="4">
        <f t="shared" si="24"/>
        <v>5850</v>
      </c>
    </row>
    <row r="260">
      <c r="A260" s="3">
        <v>2025.0</v>
      </c>
      <c r="B260" s="3" t="s">
        <v>144</v>
      </c>
      <c r="C260" s="1" t="s">
        <v>14</v>
      </c>
      <c r="F260" s="3" t="s">
        <v>15</v>
      </c>
      <c r="H260" s="3" t="s">
        <v>78</v>
      </c>
      <c r="L260" s="3">
        <v>1.0</v>
      </c>
      <c r="M260" s="3"/>
      <c r="N260" s="3">
        <v>7990.0</v>
      </c>
      <c r="P260" s="4">
        <f t="shared" si="24"/>
        <v>7990</v>
      </c>
    </row>
    <row r="261">
      <c r="A261" s="3">
        <v>2025.0</v>
      </c>
      <c r="B261" s="3" t="s">
        <v>144</v>
      </c>
      <c r="C261" s="1" t="s">
        <v>14</v>
      </c>
      <c r="F261" s="3" t="s">
        <v>15</v>
      </c>
      <c r="G261" s="20"/>
      <c r="H261" s="21" t="s">
        <v>150</v>
      </c>
      <c r="I261" s="20"/>
      <c r="J261" s="20"/>
      <c r="K261" s="20"/>
      <c r="L261" s="3">
        <v>2.0</v>
      </c>
      <c r="N261" s="3">
        <v>3750.0</v>
      </c>
      <c r="O261" s="22"/>
      <c r="P261" s="4">
        <f t="shared" si="24"/>
        <v>7500</v>
      </c>
    </row>
    <row r="262">
      <c r="A262" s="5" t="s">
        <v>12</v>
      </c>
      <c r="F262" s="6"/>
      <c r="G262" s="6"/>
      <c r="H262" s="6"/>
      <c r="I262" s="6"/>
      <c r="J262" s="6"/>
      <c r="K262" s="6"/>
      <c r="L262" s="6"/>
      <c r="M262" s="6"/>
      <c r="N262" s="6"/>
      <c r="O262" s="10" t="str">
        <f>CHANGE(P211,P262)</f>
        <v>#NAME?</v>
      </c>
      <c r="P262" s="7">
        <f>SUM(P245:P261)</f>
        <v>101740</v>
      </c>
    </row>
    <row r="263">
      <c r="A263" s="3">
        <v>2025.0</v>
      </c>
      <c r="B263" s="3" t="s">
        <v>61</v>
      </c>
      <c r="C263" s="1" t="s">
        <v>109</v>
      </c>
      <c r="F263" s="3" t="s">
        <v>15</v>
      </c>
      <c r="G263" s="3" t="s">
        <v>124</v>
      </c>
      <c r="H263" s="3" t="s">
        <v>151</v>
      </c>
      <c r="L263" s="3">
        <v>1.0</v>
      </c>
      <c r="M263" s="3"/>
      <c r="N263" s="9">
        <v>5150.0</v>
      </c>
      <c r="P263" s="4">
        <f t="shared" ref="P263:P281" si="25">N263*L263</f>
        <v>5150</v>
      </c>
    </row>
    <row r="264">
      <c r="A264" s="3">
        <v>2025.0</v>
      </c>
      <c r="B264" s="3" t="s">
        <v>61</v>
      </c>
      <c r="C264" s="1" t="s">
        <v>109</v>
      </c>
      <c r="F264" s="3" t="s">
        <v>15</v>
      </c>
      <c r="H264" s="3" t="s">
        <v>63</v>
      </c>
      <c r="L264" s="3">
        <v>1.0</v>
      </c>
      <c r="M264" s="3"/>
      <c r="N264" s="8">
        <v>1250.0</v>
      </c>
      <c r="P264" s="4">
        <f t="shared" si="25"/>
        <v>1250</v>
      </c>
    </row>
    <row r="265">
      <c r="A265" s="3">
        <v>2025.0</v>
      </c>
      <c r="B265" s="3" t="s">
        <v>61</v>
      </c>
      <c r="C265" s="1" t="s">
        <v>109</v>
      </c>
      <c r="F265" s="3" t="s">
        <v>15</v>
      </c>
      <c r="G265" s="3" t="s">
        <v>124</v>
      </c>
      <c r="H265" s="3" t="s">
        <v>152</v>
      </c>
      <c r="L265" s="3">
        <v>2.0</v>
      </c>
      <c r="M265" s="3"/>
      <c r="N265" s="9">
        <v>4250.0</v>
      </c>
      <c r="P265" s="4">
        <f t="shared" si="25"/>
        <v>8500</v>
      </c>
    </row>
    <row r="266">
      <c r="A266" s="3">
        <v>2025.0</v>
      </c>
      <c r="B266" s="3" t="s">
        <v>61</v>
      </c>
      <c r="C266" s="1" t="s">
        <v>109</v>
      </c>
      <c r="F266" s="3" t="s">
        <v>15</v>
      </c>
      <c r="G266" s="3" t="s">
        <v>127</v>
      </c>
      <c r="H266" s="3" t="s">
        <v>129</v>
      </c>
      <c r="L266" s="3">
        <v>1.0</v>
      </c>
      <c r="M266" s="3"/>
      <c r="N266" s="9">
        <v>4950.0</v>
      </c>
      <c r="P266" s="4">
        <f t="shared" si="25"/>
        <v>4950</v>
      </c>
    </row>
    <row r="267">
      <c r="A267" s="3">
        <v>2025.0</v>
      </c>
      <c r="B267" s="3" t="s">
        <v>61</v>
      </c>
      <c r="C267" s="1" t="s">
        <v>109</v>
      </c>
      <c r="F267" s="3" t="s">
        <v>15</v>
      </c>
      <c r="H267" s="3" t="s">
        <v>66</v>
      </c>
      <c r="L267" s="3">
        <v>1.0</v>
      </c>
      <c r="M267" s="3"/>
      <c r="N267" s="8">
        <v>1250.0</v>
      </c>
      <c r="P267" s="4">
        <f t="shared" si="25"/>
        <v>1250</v>
      </c>
    </row>
    <row r="268">
      <c r="A268" s="3">
        <v>2025.0</v>
      </c>
      <c r="B268" s="3" t="s">
        <v>61</v>
      </c>
      <c r="C268" s="1" t="s">
        <v>109</v>
      </c>
      <c r="F268" s="3" t="s">
        <v>15</v>
      </c>
      <c r="G268" s="3" t="s">
        <v>124</v>
      </c>
      <c r="H268" s="3" t="s">
        <v>153</v>
      </c>
      <c r="L268" s="3">
        <v>1.0</v>
      </c>
      <c r="M268" s="3"/>
      <c r="N268" s="9">
        <v>13940.0</v>
      </c>
      <c r="P268" s="4">
        <f t="shared" si="25"/>
        <v>13940</v>
      </c>
    </row>
    <row r="269">
      <c r="A269" s="3">
        <v>2025.0</v>
      </c>
      <c r="B269" s="3" t="s">
        <v>61</v>
      </c>
      <c r="C269" s="1" t="s">
        <v>109</v>
      </c>
      <c r="F269" s="3" t="s">
        <v>15</v>
      </c>
      <c r="H269" s="3" t="s">
        <v>154</v>
      </c>
      <c r="L269" s="3">
        <v>1.0</v>
      </c>
      <c r="M269" s="3"/>
      <c r="N269" s="9">
        <v>4490.0</v>
      </c>
      <c r="P269" s="4">
        <f t="shared" si="25"/>
        <v>4490</v>
      </c>
    </row>
    <row r="270">
      <c r="A270" s="3">
        <v>2025.0</v>
      </c>
      <c r="B270" s="3" t="s">
        <v>61</v>
      </c>
      <c r="C270" s="1" t="s">
        <v>109</v>
      </c>
      <c r="F270" s="3" t="s">
        <v>15</v>
      </c>
      <c r="G270" s="3" t="s">
        <v>155</v>
      </c>
      <c r="H270" s="3" t="s">
        <v>69</v>
      </c>
      <c r="L270" s="3">
        <v>3.0</v>
      </c>
      <c r="M270" s="3"/>
      <c r="N270" s="3">
        <v>1990.0</v>
      </c>
      <c r="P270" s="4">
        <f t="shared" si="25"/>
        <v>5970</v>
      </c>
    </row>
    <row r="271">
      <c r="A271" s="3">
        <v>2025.0</v>
      </c>
      <c r="B271" s="3" t="s">
        <v>61</v>
      </c>
      <c r="C271" s="1" t="s">
        <v>109</v>
      </c>
      <c r="F271" s="3" t="s">
        <v>15</v>
      </c>
      <c r="G271" s="3" t="s">
        <v>156</v>
      </c>
      <c r="H271" s="3" t="s">
        <v>157</v>
      </c>
      <c r="L271" s="3">
        <v>1.0</v>
      </c>
      <c r="M271" s="3"/>
      <c r="N271" s="9">
        <v>8990.0</v>
      </c>
      <c r="P271" s="4">
        <f t="shared" si="25"/>
        <v>8990</v>
      </c>
    </row>
    <row r="272">
      <c r="A272" s="3">
        <v>2025.0</v>
      </c>
      <c r="B272" s="3" t="s">
        <v>61</v>
      </c>
      <c r="C272" s="1" t="s">
        <v>109</v>
      </c>
      <c r="F272" s="3" t="s">
        <v>15</v>
      </c>
      <c r="G272" s="3" t="s">
        <v>127</v>
      </c>
      <c r="H272" s="3" t="s">
        <v>71</v>
      </c>
      <c r="L272" s="3">
        <v>1.0</v>
      </c>
      <c r="M272" s="3"/>
      <c r="N272" s="8">
        <v>5350.0</v>
      </c>
      <c r="P272" s="4">
        <f t="shared" si="25"/>
        <v>5350</v>
      </c>
    </row>
    <row r="273">
      <c r="A273" s="3">
        <v>2025.0</v>
      </c>
      <c r="B273" s="3" t="s">
        <v>61</v>
      </c>
      <c r="C273" s="1" t="s">
        <v>109</v>
      </c>
      <c r="F273" s="3" t="s">
        <v>15</v>
      </c>
      <c r="H273" s="3" t="s">
        <v>72</v>
      </c>
      <c r="L273" s="3">
        <v>1.0</v>
      </c>
      <c r="M273" s="3"/>
      <c r="N273" s="8">
        <v>8700.0</v>
      </c>
      <c r="P273" s="4">
        <f t="shared" si="25"/>
        <v>8700</v>
      </c>
    </row>
    <row r="274">
      <c r="A274" s="3">
        <v>2025.0</v>
      </c>
      <c r="B274" s="3" t="s">
        <v>61</v>
      </c>
      <c r="C274" s="1" t="s">
        <v>109</v>
      </c>
      <c r="F274" s="3" t="s">
        <v>15</v>
      </c>
      <c r="G274" s="3" t="s">
        <v>156</v>
      </c>
      <c r="H274" s="3" t="s">
        <v>158</v>
      </c>
      <c r="L274" s="3">
        <v>1.0</v>
      </c>
      <c r="M274" s="3"/>
      <c r="N274" s="9">
        <v>13980.0</v>
      </c>
      <c r="P274" s="4">
        <f t="shared" si="25"/>
        <v>13980</v>
      </c>
    </row>
    <row r="275">
      <c r="A275" s="3">
        <v>2025.0</v>
      </c>
      <c r="B275" s="3" t="s">
        <v>61</v>
      </c>
      <c r="C275" s="1" t="s">
        <v>109</v>
      </c>
      <c r="F275" s="3" t="s">
        <v>15</v>
      </c>
      <c r="H275" s="3" t="s">
        <v>74</v>
      </c>
      <c r="L275" s="3">
        <v>1.0</v>
      </c>
      <c r="M275" s="3"/>
      <c r="N275" s="8">
        <v>3790.0</v>
      </c>
      <c r="P275" s="4">
        <f t="shared" si="25"/>
        <v>3790</v>
      </c>
    </row>
    <row r="276">
      <c r="A276" s="3">
        <v>2025.0</v>
      </c>
      <c r="B276" s="3" t="s">
        <v>61</v>
      </c>
      <c r="C276" s="1" t="s">
        <v>109</v>
      </c>
      <c r="F276" s="3" t="s">
        <v>15</v>
      </c>
      <c r="H276" s="3" t="s">
        <v>75</v>
      </c>
      <c r="L276" s="3">
        <v>1.0</v>
      </c>
      <c r="M276" s="3"/>
      <c r="N276" s="8">
        <v>4750.0</v>
      </c>
      <c r="P276" s="4">
        <f t="shared" si="25"/>
        <v>4750</v>
      </c>
    </row>
    <row r="277">
      <c r="A277" s="3">
        <v>2025.0</v>
      </c>
      <c r="B277" s="3" t="s">
        <v>61</v>
      </c>
      <c r="C277" s="1" t="s">
        <v>109</v>
      </c>
      <c r="F277" s="3" t="s">
        <v>15</v>
      </c>
      <c r="H277" s="3" t="s">
        <v>140</v>
      </c>
      <c r="L277" s="3">
        <v>1.0</v>
      </c>
      <c r="M277" s="3"/>
      <c r="N277" s="3">
        <v>1490.0</v>
      </c>
      <c r="P277" s="4">
        <f t="shared" si="25"/>
        <v>1490</v>
      </c>
    </row>
    <row r="278">
      <c r="A278" s="3">
        <v>2025.0</v>
      </c>
      <c r="B278" s="3" t="s">
        <v>61</v>
      </c>
      <c r="C278" s="1" t="s">
        <v>109</v>
      </c>
      <c r="F278" s="3" t="s">
        <v>15</v>
      </c>
      <c r="G278" s="3" t="s">
        <v>159</v>
      </c>
      <c r="H278" s="3" t="s">
        <v>77</v>
      </c>
      <c r="L278" s="3">
        <v>3.0</v>
      </c>
      <c r="M278" s="3"/>
      <c r="N278" s="3">
        <v>1950.0</v>
      </c>
      <c r="P278" s="4">
        <f t="shared" si="25"/>
        <v>5850</v>
      </c>
    </row>
    <row r="279">
      <c r="A279" s="3">
        <v>2025.0</v>
      </c>
      <c r="B279" s="3" t="s">
        <v>61</v>
      </c>
      <c r="C279" s="1" t="s">
        <v>109</v>
      </c>
      <c r="F279" s="3" t="s">
        <v>15</v>
      </c>
      <c r="G279" s="3" t="s">
        <v>16</v>
      </c>
      <c r="H279" s="3" t="s">
        <v>78</v>
      </c>
      <c r="L279" s="3">
        <v>1.0</v>
      </c>
      <c r="M279" s="3"/>
      <c r="N279" s="3">
        <v>7990.0</v>
      </c>
      <c r="P279" s="4">
        <f t="shared" si="25"/>
        <v>7990</v>
      </c>
    </row>
    <row r="280">
      <c r="A280" s="3">
        <v>2025.0</v>
      </c>
      <c r="B280" s="3" t="s">
        <v>61</v>
      </c>
      <c r="C280" s="1" t="s">
        <v>109</v>
      </c>
      <c r="F280" s="3" t="s">
        <v>15</v>
      </c>
      <c r="G280" s="3" t="s">
        <v>159</v>
      </c>
      <c r="H280" s="3" t="s">
        <v>143</v>
      </c>
      <c r="L280" s="3">
        <v>1.0</v>
      </c>
      <c r="M280" s="3"/>
      <c r="N280" s="9">
        <v>4950.0</v>
      </c>
      <c r="P280" s="4">
        <f t="shared" si="25"/>
        <v>4950</v>
      </c>
    </row>
    <row r="281">
      <c r="A281" s="3">
        <v>2025.0</v>
      </c>
      <c r="B281" s="3" t="s">
        <v>61</v>
      </c>
      <c r="C281" s="1" t="s">
        <v>109</v>
      </c>
      <c r="F281" s="3" t="s">
        <v>15</v>
      </c>
      <c r="H281" s="3" t="s">
        <v>145</v>
      </c>
      <c r="L281" s="3">
        <v>1.0</v>
      </c>
      <c r="M281" s="3"/>
      <c r="N281" s="9">
        <v>3400.0</v>
      </c>
      <c r="P281" s="4">
        <f t="shared" si="25"/>
        <v>3400</v>
      </c>
    </row>
    <row r="282">
      <c r="A282" s="5" t="s">
        <v>12</v>
      </c>
      <c r="F282" s="6"/>
      <c r="G282" s="6"/>
      <c r="H282" s="6"/>
      <c r="I282" s="6"/>
      <c r="J282" s="6"/>
      <c r="K282" s="6"/>
      <c r="L282" s="6"/>
      <c r="M282" s="6"/>
      <c r="N282" s="6"/>
      <c r="O282" s="10" t="str">
        <f>CHANGE(#REF!,P282)</f>
        <v>#NAME?</v>
      </c>
      <c r="P282" s="7">
        <f>SUM(P263:P281)</f>
        <v>114740</v>
      </c>
    </row>
    <row r="283">
      <c r="A283" s="3">
        <v>2025.0</v>
      </c>
      <c r="B283" s="3" t="s">
        <v>144</v>
      </c>
      <c r="C283" s="1" t="s">
        <v>109</v>
      </c>
      <c r="F283" s="3" t="s">
        <v>15</v>
      </c>
      <c r="H283" s="3" t="s">
        <v>158</v>
      </c>
      <c r="L283" s="3">
        <v>1.0</v>
      </c>
      <c r="M283" s="3"/>
      <c r="N283" s="9">
        <v>7990.0</v>
      </c>
      <c r="P283" s="4">
        <f t="shared" ref="P283:P300" si="26">N283*L283</f>
        <v>7990</v>
      </c>
    </row>
    <row r="284">
      <c r="A284" s="3">
        <v>2025.0</v>
      </c>
      <c r="B284" s="3" t="s">
        <v>144</v>
      </c>
      <c r="C284" s="1" t="s">
        <v>109</v>
      </c>
      <c r="F284" s="3" t="s">
        <v>15</v>
      </c>
      <c r="H284" s="3" t="s">
        <v>160</v>
      </c>
      <c r="L284" s="3">
        <v>1.0</v>
      </c>
      <c r="M284" s="3"/>
      <c r="N284" s="9">
        <v>5550.0</v>
      </c>
      <c r="P284" s="4">
        <f t="shared" si="26"/>
        <v>5550</v>
      </c>
    </row>
    <row r="285">
      <c r="A285" s="3">
        <v>2025.0</v>
      </c>
      <c r="B285" s="3" t="s">
        <v>144</v>
      </c>
      <c r="C285" s="1" t="s">
        <v>109</v>
      </c>
      <c r="F285" s="3" t="s">
        <v>15</v>
      </c>
      <c r="H285" s="3" t="s">
        <v>138</v>
      </c>
      <c r="L285" s="3">
        <v>1.0</v>
      </c>
      <c r="M285" s="3"/>
      <c r="N285" s="9">
        <v>5990.0</v>
      </c>
      <c r="P285" s="4">
        <f t="shared" si="26"/>
        <v>5990</v>
      </c>
    </row>
    <row r="286">
      <c r="A286" s="3">
        <v>2025.0</v>
      </c>
      <c r="B286" s="3" t="s">
        <v>144</v>
      </c>
      <c r="C286" s="1" t="s">
        <v>109</v>
      </c>
      <c r="F286" s="3" t="s">
        <v>15</v>
      </c>
      <c r="H286" s="3" t="s">
        <v>135</v>
      </c>
      <c r="L286" s="3">
        <v>1.0</v>
      </c>
      <c r="M286" s="3"/>
      <c r="N286" s="9">
        <v>1200.0</v>
      </c>
      <c r="P286" s="4">
        <f t="shared" si="26"/>
        <v>1200</v>
      </c>
    </row>
    <row r="287">
      <c r="A287" s="3">
        <v>2025.0</v>
      </c>
      <c r="B287" s="3" t="s">
        <v>144</v>
      </c>
      <c r="C287" s="1" t="s">
        <v>109</v>
      </c>
      <c r="F287" s="3" t="s">
        <v>15</v>
      </c>
      <c r="H287" s="3" t="s">
        <v>66</v>
      </c>
      <c r="L287" s="3">
        <v>1.0</v>
      </c>
      <c r="M287" s="3"/>
      <c r="N287" s="9">
        <v>1200.0</v>
      </c>
      <c r="P287" s="4">
        <f t="shared" si="26"/>
        <v>1200</v>
      </c>
    </row>
    <row r="288">
      <c r="A288" s="3">
        <v>2025.0</v>
      </c>
      <c r="B288" s="3" t="s">
        <v>144</v>
      </c>
      <c r="C288" s="1" t="s">
        <v>109</v>
      </c>
      <c r="F288" s="3" t="s">
        <v>15</v>
      </c>
      <c r="H288" s="3" t="s">
        <v>71</v>
      </c>
      <c r="L288" s="3">
        <v>1.0</v>
      </c>
      <c r="M288" s="3"/>
      <c r="N288" s="9">
        <v>5350.0</v>
      </c>
      <c r="P288" s="4">
        <f t="shared" si="26"/>
        <v>5350</v>
      </c>
    </row>
    <row r="289">
      <c r="A289" s="3">
        <v>2025.0</v>
      </c>
      <c r="B289" s="3" t="s">
        <v>144</v>
      </c>
      <c r="C289" s="1" t="s">
        <v>109</v>
      </c>
      <c r="F289" s="3" t="s">
        <v>15</v>
      </c>
      <c r="H289" s="3" t="s">
        <v>147</v>
      </c>
      <c r="L289" s="3">
        <v>1.0</v>
      </c>
      <c r="M289" s="3"/>
      <c r="N289" s="9">
        <v>7990.0</v>
      </c>
      <c r="P289" s="4">
        <f t="shared" si="26"/>
        <v>7990</v>
      </c>
    </row>
    <row r="290">
      <c r="A290" s="3">
        <v>2025.0</v>
      </c>
      <c r="B290" s="3" t="s">
        <v>144</v>
      </c>
      <c r="C290" s="1" t="s">
        <v>109</v>
      </c>
      <c r="F290" s="3" t="s">
        <v>15</v>
      </c>
      <c r="H290" s="3" t="s">
        <v>140</v>
      </c>
      <c r="L290" s="3">
        <v>1.0</v>
      </c>
      <c r="M290" s="3"/>
      <c r="N290" s="3">
        <v>1750.0</v>
      </c>
      <c r="P290" s="4">
        <f t="shared" si="26"/>
        <v>1750</v>
      </c>
    </row>
    <row r="291">
      <c r="A291" s="3">
        <v>2025.0</v>
      </c>
      <c r="B291" s="3" t="s">
        <v>144</v>
      </c>
      <c r="C291" s="1" t="s">
        <v>109</v>
      </c>
      <c r="F291" s="3" t="s">
        <v>15</v>
      </c>
      <c r="H291" s="3" t="s">
        <v>62</v>
      </c>
      <c r="L291" s="3">
        <v>1.0</v>
      </c>
      <c r="M291" s="3"/>
      <c r="N291" s="8">
        <v>2200.0</v>
      </c>
      <c r="P291" s="4">
        <f t="shared" si="26"/>
        <v>2200</v>
      </c>
    </row>
    <row r="292">
      <c r="A292" s="3">
        <v>2025.0</v>
      </c>
      <c r="B292" s="3" t="s">
        <v>144</v>
      </c>
      <c r="C292" s="1" t="s">
        <v>109</v>
      </c>
      <c r="F292" s="3" t="s">
        <v>15</v>
      </c>
      <c r="H292" s="3" t="s">
        <v>136</v>
      </c>
      <c r="L292" s="3">
        <v>1.0</v>
      </c>
      <c r="M292" s="3"/>
      <c r="N292" s="3">
        <v>4950.0</v>
      </c>
      <c r="P292" s="4">
        <f t="shared" si="26"/>
        <v>4950</v>
      </c>
    </row>
    <row r="293">
      <c r="A293" s="3">
        <v>2025.0</v>
      </c>
      <c r="B293" s="3" t="s">
        <v>144</v>
      </c>
      <c r="C293" s="1" t="s">
        <v>109</v>
      </c>
      <c r="F293" s="3" t="s">
        <v>15</v>
      </c>
      <c r="H293" s="3" t="s">
        <v>72</v>
      </c>
      <c r="L293" s="3">
        <v>1.0</v>
      </c>
      <c r="M293" s="3"/>
      <c r="N293" s="8">
        <v>8700.0</v>
      </c>
      <c r="P293" s="4">
        <f t="shared" si="26"/>
        <v>8700</v>
      </c>
    </row>
    <row r="294">
      <c r="A294" s="3">
        <v>2025.0</v>
      </c>
      <c r="B294" s="3" t="s">
        <v>144</v>
      </c>
      <c r="C294" s="1" t="s">
        <v>109</v>
      </c>
      <c r="F294" s="3" t="s">
        <v>15</v>
      </c>
      <c r="H294" s="3" t="s">
        <v>69</v>
      </c>
      <c r="L294" s="3">
        <v>3.0</v>
      </c>
      <c r="M294" s="3"/>
      <c r="N294" s="3">
        <v>1990.0</v>
      </c>
      <c r="P294" s="4">
        <f t="shared" si="26"/>
        <v>5970</v>
      </c>
    </row>
    <row r="295">
      <c r="A295" s="3">
        <v>2025.0</v>
      </c>
      <c r="B295" s="3" t="s">
        <v>144</v>
      </c>
      <c r="C295" s="1" t="s">
        <v>109</v>
      </c>
      <c r="F295" s="3" t="s">
        <v>15</v>
      </c>
      <c r="H295" s="3" t="s">
        <v>129</v>
      </c>
      <c r="L295" s="3">
        <v>1.0</v>
      </c>
      <c r="M295" s="3"/>
      <c r="N295" s="9">
        <v>4950.0</v>
      </c>
      <c r="P295" s="4">
        <f t="shared" si="26"/>
        <v>4950</v>
      </c>
    </row>
    <row r="296">
      <c r="A296" s="3">
        <v>2025.0</v>
      </c>
      <c r="B296" s="3" t="s">
        <v>144</v>
      </c>
      <c r="C296" s="1" t="s">
        <v>109</v>
      </c>
      <c r="F296" s="3" t="s">
        <v>15</v>
      </c>
      <c r="G296" s="3" t="s">
        <v>124</v>
      </c>
      <c r="H296" s="3" t="s">
        <v>151</v>
      </c>
      <c r="L296" s="3">
        <v>1.0</v>
      </c>
      <c r="M296" s="3"/>
      <c r="N296" s="9">
        <v>5100.0</v>
      </c>
      <c r="P296" s="4">
        <f t="shared" si="26"/>
        <v>5100</v>
      </c>
    </row>
    <row r="297">
      <c r="A297" s="3">
        <v>2025.0</v>
      </c>
      <c r="B297" s="3" t="s">
        <v>144</v>
      </c>
      <c r="C297" s="1" t="s">
        <v>109</v>
      </c>
      <c r="F297" s="3" t="s">
        <v>15</v>
      </c>
      <c r="H297" s="3" t="s">
        <v>77</v>
      </c>
      <c r="L297" s="3">
        <v>3.0</v>
      </c>
      <c r="M297" s="3"/>
      <c r="N297" s="3">
        <v>1950.0</v>
      </c>
      <c r="P297" s="4">
        <f t="shared" si="26"/>
        <v>5850</v>
      </c>
    </row>
    <row r="298">
      <c r="A298" s="3">
        <v>2025.0</v>
      </c>
      <c r="B298" s="3" t="s">
        <v>144</v>
      </c>
      <c r="C298" s="1" t="s">
        <v>109</v>
      </c>
      <c r="F298" s="3" t="s">
        <v>15</v>
      </c>
      <c r="H298" s="3" t="s">
        <v>78</v>
      </c>
      <c r="L298" s="3">
        <v>1.0</v>
      </c>
      <c r="M298" s="3"/>
      <c r="N298" s="3">
        <v>7990.0</v>
      </c>
      <c r="P298" s="4">
        <f t="shared" si="26"/>
        <v>7990</v>
      </c>
    </row>
    <row r="299">
      <c r="A299" s="3">
        <v>2025.0</v>
      </c>
      <c r="B299" s="3" t="s">
        <v>144</v>
      </c>
      <c r="C299" s="1" t="s">
        <v>109</v>
      </c>
      <c r="F299" s="3" t="s">
        <v>15</v>
      </c>
      <c r="G299" s="20"/>
      <c r="H299" s="3" t="s">
        <v>161</v>
      </c>
      <c r="I299" s="20"/>
      <c r="J299" s="20"/>
      <c r="K299" s="20"/>
      <c r="L299" s="3">
        <v>1.0</v>
      </c>
      <c r="N299" s="3">
        <v>2250.0</v>
      </c>
      <c r="O299" s="22"/>
      <c r="P299" s="4">
        <f t="shared" si="26"/>
        <v>2250</v>
      </c>
    </row>
    <row r="300">
      <c r="A300" s="3">
        <v>2025.0</v>
      </c>
      <c r="B300" s="3" t="s">
        <v>144</v>
      </c>
      <c r="C300" s="1" t="s">
        <v>109</v>
      </c>
      <c r="F300" s="3" t="s">
        <v>15</v>
      </c>
      <c r="G300" s="20"/>
      <c r="H300" s="3" t="s">
        <v>162</v>
      </c>
      <c r="I300" s="20"/>
      <c r="J300" s="20"/>
      <c r="K300" s="20"/>
      <c r="L300" s="3">
        <v>1.0</v>
      </c>
      <c r="N300" s="3">
        <v>7490.0</v>
      </c>
      <c r="O300" s="22"/>
      <c r="P300" s="4">
        <f t="shared" si="26"/>
        <v>7490</v>
      </c>
    </row>
    <row r="301">
      <c r="A301" s="5" t="s">
        <v>12</v>
      </c>
      <c r="F301" s="6"/>
      <c r="G301" s="6"/>
      <c r="H301" s="6"/>
      <c r="I301" s="6"/>
      <c r="J301" s="6"/>
      <c r="K301" s="6"/>
      <c r="L301" s="6"/>
      <c r="M301" s="6"/>
      <c r="N301" s="6"/>
      <c r="O301" s="10" t="str">
        <f>CHANGE(P246,P301)</f>
        <v>#NAME?</v>
      </c>
      <c r="P301" s="7">
        <f>SUM(P283:P300)</f>
        <v>92470</v>
      </c>
    </row>
    <row r="302">
      <c r="A302" s="3">
        <v>2025.0</v>
      </c>
      <c r="B302" s="3" t="s">
        <v>163</v>
      </c>
      <c r="C302" s="1" t="s">
        <v>14</v>
      </c>
      <c r="F302" s="3" t="s">
        <v>15</v>
      </c>
      <c r="H302" s="3" t="s">
        <v>68</v>
      </c>
      <c r="L302" s="3">
        <v>1.0</v>
      </c>
      <c r="M302" s="3"/>
      <c r="N302" s="8">
        <v>4570.0</v>
      </c>
      <c r="P302" s="4">
        <f t="shared" ref="P302:P318" si="27">N302*L302</f>
        <v>4570</v>
      </c>
    </row>
    <row r="303">
      <c r="A303" s="3">
        <v>2025.0</v>
      </c>
      <c r="B303" s="3" t="s">
        <v>163</v>
      </c>
      <c r="C303" s="1" t="s">
        <v>14</v>
      </c>
      <c r="F303" s="3" t="s">
        <v>15</v>
      </c>
      <c r="H303" s="3" t="s">
        <v>73</v>
      </c>
      <c r="L303" s="3">
        <v>1.0</v>
      </c>
      <c r="M303" s="3"/>
      <c r="N303" s="8">
        <v>2600.0</v>
      </c>
      <c r="P303" s="4">
        <f t="shared" si="27"/>
        <v>2600</v>
      </c>
    </row>
    <row r="304">
      <c r="A304" s="3">
        <v>2025.0</v>
      </c>
      <c r="B304" s="3" t="s">
        <v>163</v>
      </c>
      <c r="C304" s="1" t="s">
        <v>14</v>
      </c>
      <c r="F304" s="3" t="s">
        <v>15</v>
      </c>
      <c r="H304" s="3" t="s">
        <v>138</v>
      </c>
      <c r="L304" s="3">
        <v>1.0</v>
      </c>
      <c r="M304" s="3"/>
      <c r="N304" s="9">
        <v>5990.0</v>
      </c>
      <c r="P304" s="4">
        <f t="shared" si="27"/>
        <v>5990</v>
      </c>
    </row>
    <row r="305">
      <c r="A305" s="3">
        <v>2025.0</v>
      </c>
      <c r="B305" s="3" t="s">
        <v>163</v>
      </c>
      <c r="C305" s="1" t="s">
        <v>14</v>
      </c>
      <c r="F305" s="3" t="s">
        <v>15</v>
      </c>
      <c r="H305" s="3" t="s">
        <v>164</v>
      </c>
      <c r="L305" s="3">
        <v>1.0</v>
      </c>
      <c r="M305" s="3"/>
      <c r="N305" s="9">
        <v>2900.0</v>
      </c>
      <c r="P305" s="4">
        <f t="shared" si="27"/>
        <v>2900</v>
      </c>
    </row>
    <row r="306">
      <c r="A306" s="3">
        <v>2025.0</v>
      </c>
      <c r="B306" s="3" t="s">
        <v>163</v>
      </c>
      <c r="C306" s="1" t="s">
        <v>14</v>
      </c>
      <c r="F306" s="3" t="s">
        <v>15</v>
      </c>
      <c r="H306" s="3" t="s">
        <v>142</v>
      </c>
      <c r="L306" s="3">
        <v>1.0</v>
      </c>
      <c r="M306" s="3"/>
      <c r="N306" s="3">
        <v>2790.0</v>
      </c>
      <c r="P306" s="4">
        <f t="shared" si="27"/>
        <v>2790</v>
      </c>
    </row>
    <row r="307">
      <c r="A307" s="3">
        <v>2025.0</v>
      </c>
      <c r="B307" s="3" t="s">
        <v>163</v>
      </c>
      <c r="C307" s="1" t="s">
        <v>14</v>
      </c>
      <c r="F307" s="3" t="s">
        <v>15</v>
      </c>
      <c r="H307" s="3" t="s">
        <v>165</v>
      </c>
      <c r="L307" s="3">
        <v>1.0</v>
      </c>
      <c r="M307" s="3"/>
      <c r="N307" s="9">
        <v>6450.0</v>
      </c>
      <c r="P307" s="4">
        <f t="shared" si="27"/>
        <v>6450</v>
      </c>
    </row>
    <row r="308">
      <c r="A308" s="3">
        <v>2025.0</v>
      </c>
      <c r="B308" s="3" t="s">
        <v>163</v>
      </c>
      <c r="C308" s="1" t="s">
        <v>14</v>
      </c>
      <c r="F308" s="3" t="s">
        <v>15</v>
      </c>
      <c r="H308" s="3" t="s">
        <v>147</v>
      </c>
      <c r="L308" s="3">
        <v>2.0</v>
      </c>
      <c r="M308" s="3"/>
      <c r="N308" s="9">
        <v>6990.0</v>
      </c>
      <c r="P308" s="4">
        <f t="shared" si="27"/>
        <v>13980</v>
      </c>
    </row>
    <row r="309">
      <c r="A309" s="3">
        <v>2025.0</v>
      </c>
      <c r="B309" s="3" t="s">
        <v>163</v>
      </c>
      <c r="C309" s="1" t="s">
        <v>14</v>
      </c>
      <c r="F309" s="3" t="s">
        <v>15</v>
      </c>
      <c r="H309" s="3" t="s">
        <v>166</v>
      </c>
      <c r="L309" s="3">
        <v>1.0</v>
      </c>
      <c r="M309" s="3"/>
      <c r="N309" s="3">
        <v>2100.0</v>
      </c>
      <c r="P309" s="4">
        <f t="shared" si="27"/>
        <v>2100</v>
      </c>
    </row>
    <row r="310">
      <c r="A310" s="3">
        <v>2025.0</v>
      </c>
      <c r="B310" s="3" t="s">
        <v>163</v>
      </c>
      <c r="C310" s="1" t="s">
        <v>14</v>
      </c>
      <c r="F310" s="3" t="s">
        <v>15</v>
      </c>
      <c r="H310" s="3" t="s">
        <v>62</v>
      </c>
      <c r="L310" s="3">
        <v>1.0</v>
      </c>
      <c r="M310" s="3"/>
      <c r="N310" s="8">
        <v>2200.0</v>
      </c>
      <c r="P310" s="4">
        <f t="shared" si="27"/>
        <v>2200</v>
      </c>
    </row>
    <row r="311">
      <c r="A311" s="3">
        <v>2025.0</v>
      </c>
      <c r="B311" s="3" t="s">
        <v>163</v>
      </c>
      <c r="C311" s="1" t="s">
        <v>14</v>
      </c>
      <c r="F311" s="3" t="s">
        <v>15</v>
      </c>
      <c r="H311" s="3" t="s">
        <v>136</v>
      </c>
      <c r="L311" s="3">
        <v>1.0</v>
      </c>
      <c r="M311" s="3"/>
      <c r="N311" s="3">
        <v>4950.0</v>
      </c>
      <c r="P311" s="4">
        <f t="shared" si="27"/>
        <v>4950</v>
      </c>
    </row>
    <row r="312">
      <c r="A312" s="3">
        <v>2025.0</v>
      </c>
      <c r="B312" s="3" t="s">
        <v>163</v>
      </c>
      <c r="C312" s="1" t="s">
        <v>14</v>
      </c>
      <c r="F312" s="3" t="s">
        <v>15</v>
      </c>
      <c r="H312" s="3" t="s">
        <v>145</v>
      </c>
      <c r="L312" s="3">
        <v>2.0</v>
      </c>
      <c r="M312" s="3"/>
      <c r="N312" s="9">
        <v>3400.0</v>
      </c>
      <c r="P312" s="4">
        <f t="shared" si="27"/>
        <v>6800</v>
      </c>
    </row>
    <row r="313">
      <c r="A313" s="3">
        <v>2025.0</v>
      </c>
      <c r="B313" s="3" t="s">
        <v>163</v>
      </c>
      <c r="C313" s="1" t="s">
        <v>14</v>
      </c>
      <c r="F313" s="3" t="s">
        <v>15</v>
      </c>
      <c r="H313" s="3" t="s">
        <v>69</v>
      </c>
      <c r="L313" s="3">
        <v>3.0</v>
      </c>
      <c r="M313" s="3"/>
      <c r="N313" s="3">
        <v>1990.0</v>
      </c>
      <c r="P313" s="4">
        <f t="shared" si="27"/>
        <v>5970</v>
      </c>
    </row>
    <row r="314">
      <c r="A314" s="3">
        <v>2025.0</v>
      </c>
      <c r="B314" s="3" t="s">
        <v>163</v>
      </c>
      <c r="C314" s="1" t="s">
        <v>14</v>
      </c>
      <c r="F314" s="3" t="s">
        <v>15</v>
      </c>
      <c r="H314" s="3" t="s">
        <v>157</v>
      </c>
      <c r="L314" s="3">
        <v>1.0</v>
      </c>
      <c r="M314" s="3"/>
      <c r="N314" s="9">
        <v>8990.0</v>
      </c>
      <c r="P314" s="4">
        <f t="shared" si="27"/>
        <v>8990</v>
      </c>
    </row>
    <row r="315">
      <c r="A315" s="3">
        <v>2025.0</v>
      </c>
      <c r="B315" s="3" t="s">
        <v>163</v>
      </c>
      <c r="C315" s="1" t="s">
        <v>14</v>
      </c>
      <c r="F315" s="3" t="s">
        <v>15</v>
      </c>
      <c r="H315" s="3" t="s">
        <v>75</v>
      </c>
      <c r="L315" s="3">
        <v>1.0</v>
      </c>
      <c r="M315" s="3"/>
      <c r="N315" s="8">
        <v>4750.0</v>
      </c>
      <c r="P315" s="4">
        <f t="shared" si="27"/>
        <v>4750</v>
      </c>
    </row>
    <row r="316">
      <c r="A316" s="3">
        <v>2025.0</v>
      </c>
      <c r="B316" s="3" t="s">
        <v>163</v>
      </c>
      <c r="C316" s="1" t="s">
        <v>14</v>
      </c>
      <c r="F316" s="3" t="s">
        <v>15</v>
      </c>
      <c r="H316" s="3" t="s">
        <v>77</v>
      </c>
      <c r="L316" s="3">
        <v>3.0</v>
      </c>
      <c r="M316" s="3"/>
      <c r="N316" s="3">
        <v>1950.0</v>
      </c>
      <c r="P316" s="4">
        <f t="shared" si="27"/>
        <v>5850</v>
      </c>
    </row>
    <row r="317">
      <c r="A317" s="3">
        <v>2025.0</v>
      </c>
      <c r="B317" s="3" t="s">
        <v>163</v>
      </c>
      <c r="C317" s="1" t="s">
        <v>14</v>
      </c>
      <c r="F317" s="3" t="s">
        <v>15</v>
      </c>
      <c r="H317" s="3" t="s">
        <v>78</v>
      </c>
      <c r="L317" s="3">
        <v>1.0</v>
      </c>
      <c r="M317" s="3"/>
      <c r="N317" s="3">
        <v>7990.0</v>
      </c>
      <c r="P317" s="4">
        <f t="shared" si="27"/>
        <v>7990</v>
      </c>
    </row>
    <row r="318">
      <c r="A318" s="3">
        <v>2025.0</v>
      </c>
      <c r="B318" s="3" t="s">
        <v>163</v>
      </c>
      <c r="C318" s="1" t="s">
        <v>14</v>
      </c>
      <c r="F318" s="3" t="s">
        <v>15</v>
      </c>
      <c r="G318" s="20"/>
      <c r="H318" s="3" t="s">
        <v>143</v>
      </c>
      <c r="L318" s="3">
        <v>1.0</v>
      </c>
      <c r="M318" s="3"/>
      <c r="N318" s="9">
        <v>4950.0</v>
      </c>
      <c r="P318" s="4">
        <f t="shared" si="27"/>
        <v>4950</v>
      </c>
    </row>
    <row r="319">
      <c r="A319" s="5" t="s">
        <v>12</v>
      </c>
      <c r="F319" s="6"/>
      <c r="G319" s="6"/>
      <c r="H319" s="6"/>
      <c r="I319" s="6"/>
      <c r="J319" s="6"/>
      <c r="K319" s="6"/>
      <c r="L319" s="6"/>
      <c r="M319" s="6"/>
      <c r="N319" s="6"/>
      <c r="O319" s="10" t="str">
        <f>CHANGE(P265,P319)</f>
        <v>#NAME?</v>
      </c>
      <c r="P319" s="7">
        <f>SUM(P302:P318)</f>
        <v>93830</v>
      </c>
    </row>
    <row r="320">
      <c r="A320" s="3">
        <v>2025.0</v>
      </c>
      <c r="B320" s="3" t="s">
        <v>163</v>
      </c>
      <c r="C320" s="1" t="s">
        <v>109</v>
      </c>
      <c r="F320" s="3" t="s">
        <v>15</v>
      </c>
      <c r="H320" s="3" t="s">
        <v>63</v>
      </c>
      <c r="L320" s="3">
        <v>1.0</v>
      </c>
      <c r="M320" s="3"/>
      <c r="N320" s="9">
        <v>1200.0</v>
      </c>
      <c r="P320" s="4">
        <f t="shared" ref="P320:P333" si="28">N320*L320</f>
        <v>1200</v>
      </c>
    </row>
    <row r="321">
      <c r="A321" s="3">
        <v>2025.0</v>
      </c>
      <c r="B321" s="3" t="s">
        <v>163</v>
      </c>
      <c r="C321" s="1" t="s">
        <v>109</v>
      </c>
      <c r="F321" s="3" t="s">
        <v>15</v>
      </c>
      <c r="H321" s="3" t="s">
        <v>66</v>
      </c>
      <c r="L321" s="3">
        <v>1.0</v>
      </c>
      <c r="M321" s="3"/>
      <c r="N321" s="9">
        <v>1200.0</v>
      </c>
      <c r="P321" s="4">
        <f t="shared" si="28"/>
        <v>1200</v>
      </c>
    </row>
    <row r="322">
      <c r="A322" s="3">
        <v>2025.0</v>
      </c>
      <c r="B322" s="3" t="s">
        <v>163</v>
      </c>
      <c r="C322" s="1" t="s">
        <v>109</v>
      </c>
      <c r="F322" s="3" t="s">
        <v>15</v>
      </c>
      <c r="H322" s="3" t="s">
        <v>138</v>
      </c>
      <c r="L322" s="3">
        <v>1.0</v>
      </c>
      <c r="M322" s="3"/>
      <c r="N322" s="9">
        <v>5990.0</v>
      </c>
      <c r="P322" s="4">
        <f t="shared" si="28"/>
        <v>5990</v>
      </c>
    </row>
    <row r="323">
      <c r="A323" s="3">
        <v>2025.0</v>
      </c>
      <c r="B323" s="3" t="s">
        <v>163</v>
      </c>
      <c r="C323" s="1" t="s">
        <v>109</v>
      </c>
      <c r="F323" s="3" t="s">
        <v>15</v>
      </c>
      <c r="H323" s="3" t="s">
        <v>72</v>
      </c>
      <c r="L323" s="3">
        <v>1.0</v>
      </c>
      <c r="M323" s="3"/>
      <c r="N323" s="8">
        <v>8700.0</v>
      </c>
      <c r="P323" s="4">
        <f t="shared" si="28"/>
        <v>8700</v>
      </c>
    </row>
    <row r="324">
      <c r="A324" s="3">
        <v>2025.0</v>
      </c>
      <c r="B324" s="3" t="s">
        <v>163</v>
      </c>
      <c r="C324" s="1" t="s">
        <v>109</v>
      </c>
      <c r="F324" s="3" t="s">
        <v>15</v>
      </c>
      <c r="H324" s="3" t="s">
        <v>74</v>
      </c>
      <c r="L324" s="3">
        <v>1.0</v>
      </c>
      <c r="M324" s="3"/>
      <c r="N324" s="8">
        <v>3790.0</v>
      </c>
      <c r="P324" s="4">
        <f t="shared" si="28"/>
        <v>3790</v>
      </c>
    </row>
    <row r="325">
      <c r="A325" s="3">
        <v>2025.0</v>
      </c>
      <c r="B325" s="3" t="s">
        <v>163</v>
      </c>
      <c r="C325" s="1" t="s">
        <v>109</v>
      </c>
      <c r="F325" s="3" t="s">
        <v>15</v>
      </c>
      <c r="H325" s="3" t="s">
        <v>165</v>
      </c>
      <c r="L325" s="3">
        <v>1.0</v>
      </c>
      <c r="M325" s="3"/>
      <c r="N325" s="9">
        <v>6450.0</v>
      </c>
      <c r="P325" s="4">
        <f t="shared" si="28"/>
        <v>6450</v>
      </c>
    </row>
    <row r="326">
      <c r="A326" s="3">
        <v>2025.0</v>
      </c>
      <c r="B326" s="3" t="s">
        <v>163</v>
      </c>
      <c r="C326" s="1" t="s">
        <v>109</v>
      </c>
      <c r="F326" s="3" t="s">
        <v>15</v>
      </c>
      <c r="H326" s="3" t="s">
        <v>147</v>
      </c>
      <c r="L326" s="3">
        <v>1.0</v>
      </c>
      <c r="M326" s="3"/>
      <c r="N326" s="9">
        <v>6990.0</v>
      </c>
      <c r="P326" s="4">
        <f t="shared" si="28"/>
        <v>6990</v>
      </c>
    </row>
    <row r="327">
      <c r="A327" s="3">
        <v>2025.0</v>
      </c>
      <c r="B327" s="3" t="s">
        <v>163</v>
      </c>
      <c r="C327" s="1" t="s">
        <v>109</v>
      </c>
      <c r="F327" s="3" t="s">
        <v>15</v>
      </c>
      <c r="H327" s="3" t="s">
        <v>64</v>
      </c>
      <c r="L327" s="3">
        <v>1.0</v>
      </c>
      <c r="M327" s="3"/>
      <c r="N327" s="9">
        <v>4900.0</v>
      </c>
      <c r="P327" s="4">
        <f t="shared" si="28"/>
        <v>4900</v>
      </c>
    </row>
    <row r="328">
      <c r="A328" s="3">
        <v>2025.0</v>
      </c>
      <c r="B328" s="3" t="s">
        <v>163</v>
      </c>
      <c r="C328" s="1" t="s">
        <v>109</v>
      </c>
      <c r="F328" s="3" t="s">
        <v>15</v>
      </c>
      <c r="H328" s="3" t="s">
        <v>129</v>
      </c>
      <c r="L328" s="3">
        <v>1.0</v>
      </c>
      <c r="M328" s="3"/>
      <c r="N328" s="9">
        <v>4950.0</v>
      </c>
      <c r="P328" s="4">
        <f t="shared" si="28"/>
        <v>4950</v>
      </c>
    </row>
    <row r="329">
      <c r="A329" s="3">
        <v>2025.0</v>
      </c>
      <c r="B329" s="3" t="s">
        <v>163</v>
      </c>
      <c r="C329" s="1" t="s">
        <v>109</v>
      </c>
      <c r="F329" s="3" t="s">
        <v>15</v>
      </c>
      <c r="H329" s="3" t="s">
        <v>151</v>
      </c>
      <c r="L329" s="3">
        <v>1.0</v>
      </c>
      <c r="M329" s="3"/>
      <c r="N329" s="9">
        <v>5100.0</v>
      </c>
      <c r="P329" s="4">
        <f t="shared" si="28"/>
        <v>5100</v>
      </c>
    </row>
    <row r="330">
      <c r="A330" s="3">
        <v>2025.0</v>
      </c>
      <c r="B330" s="3" t="s">
        <v>163</v>
      </c>
      <c r="C330" s="1" t="s">
        <v>109</v>
      </c>
      <c r="F330" s="3" t="s">
        <v>15</v>
      </c>
      <c r="H330" s="3" t="s">
        <v>145</v>
      </c>
      <c r="L330" s="3">
        <v>2.0</v>
      </c>
      <c r="M330" s="3"/>
      <c r="N330" s="9">
        <v>3400.0</v>
      </c>
      <c r="P330" s="4">
        <f t="shared" si="28"/>
        <v>6800</v>
      </c>
    </row>
    <row r="331">
      <c r="A331" s="3">
        <v>2025.0</v>
      </c>
      <c r="B331" s="3" t="s">
        <v>163</v>
      </c>
      <c r="C331" s="1" t="s">
        <v>109</v>
      </c>
      <c r="F331" s="3" t="s">
        <v>15</v>
      </c>
      <c r="H331" s="3" t="s">
        <v>167</v>
      </c>
      <c r="L331" s="3">
        <v>1.0</v>
      </c>
      <c r="M331" s="3"/>
      <c r="N331" s="3">
        <v>14290.0</v>
      </c>
      <c r="P331" s="4">
        <f t="shared" si="28"/>
        <v>14290</v>
      </c>
    </row>
    <row r="332">
      <c r="A332" s="3">
        <v>2025.0</v>
      </c>
      <c r="B332" s="3" t="s">
        <v>163</v>
      </c>
      <c r="C332" s="1" t="s">
        <v>109</v>
      </c>
      <c r="F332" s="3" t="s">
        <v>15</v>
      </c>
      <c r="H332" s="3" t="s">
        <v>77</v>
      </c>
      <c r="L332" s="3">
        <v>3.0</v>
      </c>
      <c r="M332" s="3"/>
      <c r="N332" s="3">
        <v>1950.0</v>
      </c>
      <c r="P332" s="4">
        <f t="shared" si="28"/>
        <v>5850</v>
      </c>
    </row>
    <row r="333">
      <c r="A333" s="3">
        <v>2025.0</v>
      </c>
      <c r="B333" s="3" t="s">
        <v>163</v>
      </c>
      <c r="C333" s="1" t="s">
        <v>109</v>
      </c>
      <c r="F333" s="3" t="s">
        <v>15</v>
      </c>
      <c r="H333" s="3" t="s">
        <v>78</v>
      </c>
      <c r="L333" s="3">
        <v>1.0</v>
      </c>
      <c r="M333" s="3"/>
      <c r="N333" s="3">
        <v>7990.0</v>
      </c>
      <c r="P333" s="4">
        <f t="shared" si="28"/>
        <v>7990</v>
      </c>
    </row>
    <row r="334">
      <c r="A334" s="5" t="s">
        <v>12</v>
      </c>
      <c r="F334" s="6"/>
      <c r="G334" s="6"/>
      <c r="H334" s="6"/>
      <c r="I334" s="6"/>
      <c r="J334" s="6"/>
      <c r="K334" s="6"/>
      <c r="L334" s="6"/>
      <c r="M334" s="6"/>
      <c r="N334" s="6"/>
      <c r="O334" s="10" t="str">
        <f>CHANGE(P283,P334)</f>
        <v>#NAME?</v>
      </c>
      <c r="P334" s="7">
        <f>SUM(P320:P333)</f>
        <v>84200</v>
      </c>
    </row>
    <row r="335">
      <c r="A335" s="3">
        <v>2025.0</v>
      </c>
      <c r="B335" s="3" t="s">
        <v>137</v>
      </c>
      <c r="C335" s="1" t="s">
        <v>109</v>
      </c>
      <c r="F335" s="3" t="s">
        <v>15</v>
      </c>
      <c r="H335" s="3" t="s">
        <v>168</v>
      </c>
      <c r="L335" s="3">
        <v>2.0</v>
      </c>
      <c r="N335" s="3">
        <v>2550.0</v>
      </c>
      <c r="P335" s="4">
        <f t="shared" ref="P335:P348" si="29">N335*L335</f>
        <v>5100</v>
      </c>
    </row>
    <row r="336">
      <c r="A336" s="3">
        <v>2025.0</v>
      </c>
      <c r="B336" s="3" t="s">
        <v>137</v>
      </c>
      <c r="C336" s="1" t="s">
        <v>109</v>
      </c>
      <c r="F336" s="3" t="s">
        <v>15</v>
      </c>
      <c r="H336" s="3" t="s">
        <v>73</v>
      </c>
      <c r="L336" s="3">
        <v>1.0</v>
      </c>
      <c r="M336" s="3"/>
      <c r="N336" s="8">
        <v>2600.0</v>
      </c>
      <c r="P336" s="4">
        <f t="shared" si="29"/>
        <v>2600</v>
      </c>
    </row>
    <row r="337">
      <c r="A337" s="3">
        <v>2025.0</v>
      </c>
      <c r="B337" s="3" t="s">
        <v>137</v>
      </c>
      <c r="C337" s="1" t="s">
        <v>109</v>
      </c>
      <c r="F337" s="3" t="s">
        <v>15</v>
      </c>
      <c r="H337" s="3" t="s">
        <v>64</v>
      </c>
      <c r="L337" s="3">
        <v>1.0</v>
      </c>
      <c r="M337" s="3"/>
      <c r="N337" s="9">
        <v>4990.0</v>
      </c>
      <c r="P337" s="4">
        <f t="shared" si="29"/>
        <v>4990</v>
      </c>
    </row>
    <row r="338">
      <c r="A338" s="3">
        <v>2025.0</v>
      </c>
      <c r="B338" s="3" t="s">
        <v>137</v>
      </c>
      <c r="C338" s="1" t="s">
        <v>109</v>
      </c>
      <c r="F338" s="3" t="s">
        <v>15</v>
      </c>
      <c r="H338" s="3" t="s">
        <v>68</v>
      </c>
      <c r="L338" s="3">
        <v>1.0</v>
      </c>
      <c r="M338" s="3"/>
      <c r="N338" s="8">
        <v>4570.0</v>
      </c>
      <c r="P338" s="4">
        <f t="shared" si="29"/>
        <v>4570</v>
      </c>
    </row>
    <row r="339">
      <c r="A339" s="3">
        <v>2025.0</v>
      </c>
      <c r="B339" s="3" t="s">
        <v>137</v>
      </c>
      <c r="C339" s="1" t="s">
        <v>109</v>
      </c>
      <c r="F339" s="3" t="s">
        <v>15</v>
      </c>
      <c r="H339" s="3" t="s">
        <v>66</v>
      </c>
      <c r="L339" s="3">
        <v>1.0</v>
      </c>
      <c r="M339" s="3"/>
      <c r="N339" s="9">
        <v>1150.0</v>
      </c>
      <c r="P339" s="4">
        <f t="shared" si="29"/>
        <v>1150</v>
      </c>
    </row>
    <row r="340">
      <c r="A340" s="3">
        <v>2025.0</v>
      </c>
      <c r="B340" s="3" t="s">
        <v>137</v>
      </c>
      <c r="C340" s="1" t="s">
        <v>109</v>
      </c>
      <c r="F340" s="3" t="s">
        <v>15</v>
      </c>
      <c r="H340" s="3" t="s">
        <v>158</v>
      </c>
      <c r="L340" s="3">
        <v>1.0</v>
      </c>
      <c r="M340" s="3"/>
      <c r="N340" s="9">
        <v>7990.0</v>
      </c>
      <c r="P340" s="4">
        <f t="shared" si="29"/>
        <v>7990</v>
      </c>
    </row>
    <row r="341">
      <c r="A341" s="3">
        <v>2025.0</v>
      </c>
      <c r="B341" s="3" t="s">
        <v>137</v>
      </c>
      <c r="C341" s="1" t="s">
        <v>109</v>
      </c>
      <c r="F341" s="3" t="s">
        <v>15</v>
      </c>
      <c r="H341" s="3" t="s">
        <v>129</v>
      </c>
      <c r="L341" s="3">
        <v>1.0</v>
      </c>
      <c r="M341" s="3"/>
      <c r="N341" s="9">
        <v>4950.0</v>
      </c>
      <c r="P341" s="4">
        <f t="shared" si="29"/>
        <v>4950</v>
      </c>
    </row>
    <row r="342">
      <c r="A342" s="3">
        <v>2025.0</v>
      </c>
      <c r="B342" s="3" t="s">
        <v>137</v>
      </c>
      <c r="C342" s="1" t="s">
        <v>109</v>
      </c>
      <c r="F342" s="3" t="s">
        <v>15</v>
      </c>
      <c r="H342" s="3" t="s">
        <v>140</v>
      </c>
      <c r="L342" s="3">
        <v>1.0</v>
      </c>
      <c r="M342" s="3"/>
      <c r="N342" s="3">
        <v>1750.0</v>
      </c>
      <c r="P342" s="4">
        <f t="shared" si="29"/>
        <v>1750</v>
      </c>
    </row>
    <row r="343">
      <c r="A343" s="3">
        <v>2025.0</v>
      </c>
      <c r="B343" s="3" t="s">
        <v>137</v>
      </c>
      <c r="C343" s="1" t="s">
        <v>109</v>
      </c>
      <c r="F343" s="3" t="s">
        <v>15</v>
      </c>
      <c r="H343" s="3" t="s">
        <v>62</v>
      </c>
      <c r="L343" s="3">
        <v>1.0</v>
      </c>
      <c r="M343" s="3"/>
      <c r="N343" s="8">
        <v>2200.0</v>
      </c>
      <c r="P343" s="4">
        <f t="shared" si="29"/>
        <v>2200</v>
      </c>
    </row>
    <row r="344">
      <c r="A344" s="3">
        <v>2025.0</v>
      </c>
      <c r="B344" s="3" t="s">
        <v>137</v>
      </c>
      <c r="C344" s="1" t="s">
        <v>109</v>
      </c>
      <c r="F344" s="3" t="s">
        <v>15</v>
      </c>
      <c r="H344" s="3" t="s">
        <v>136</v>
      </c>
      <c r="L344" s="3">
        <v>1.0</v>
      </c>
      <c r="M344" s="3"/>
      <c r="N344" s="3">
        <v>4950.0</v>
      </c>
      <c r="P344" s="4">
        <f t="shared" si="29"/>
        <v>4950</v>
      </c>
    </row>
    <row r="345">
      <c r="A345" s="3">
        <v>2025.0</v>
      </c>
      <c r="B345" s="3" t="s">
        <v>137</v>
      </c>
      <c r="C345" s="1" t="s">
        <v>109</v>
      </c>
      <c r="F345" s="3" t="s">
        <v>15</v>
      </c>
      <c r="H345" s="3" t="s">
        <v>72</v>
      </c>
      <c r="L345" s="3">
        <v>1.0</v>
      </c>
      <c r="M345" s="3"/>
      <c r="N345" s="8">
        <v>8700.0</v>
      </c>
      <c r="P345" s="4">
        <f t="shared" si="29"/>
        <v>8700</v>
      </c>
    </row>
    <row r="346">
      <c r="A346" s="3">
        <v>2025.0</v>
      </c>
      <c r="B346" s="3" t="s">
        <v>137</v>
      </c>
      <c r="C346" s="1" t="s">
        <v>109</v>
      </c>
      <c r="F346" s="3" t="s">
        <v>15</v>
      </c>
      <c r="H346" s="3" t="s">
        <v>135</v>
      </c>
      <c r="L346" s="3">
        <v>1.0</v>
      </c>
      <c r="M346" s="3"/>
      <c r="N346" s="9">
        <v>1150.0</v>
      </c>
      <c r="P346" s="4">
        <f t="shared" si="29"/>
        <v>1150</v>
      </c>
    </row>
    <row r="347">
      <c r="A347" s="3">
        <v>2025.0</v>
      </c>
      <c r="B347" s="3" t="s">
        <v>137</v>
      </c>
      <c r="C347" s="1" t="s">
        <v>109</v>
      </c>
      <c r="F347" s="3" t="s">
        <v>15</v>
      </c>
      <c r="H347" s="3" t="s">
        <v>74</v>
      </c>
      <c r="L347" s="3">
        <v>1.0</v>
      </c>
      <c r="M347" s="3"/>
      <c r="N347" s="8">
        <v>3790.0</v>
      </c>
      <c r="P347" s="4">
        <f t="shared" si="29"/>
        <v>3790</v>
      </c>
    </row>
    <row r="348">
      <c r="A348" s="3">
        <v>2025.0</v>
      </c>
      <c r="B348" s="3" t="s">
        <v>137</v>
      </c>
      <c r="C348" s="1" t="s">
        <v>109</v>
      </c>
      <c r="F348" s="3" t="s">
        <v>15</v>
      </c>
      <c r="G348" s="3" t="s">
        <v>16</v>
      </c>
      <c r="H348" s="3" t="s">
        <v>78</v>
      </c>
      <c r="L348" s="3">
        <v>1.0</v>
      </c>
      <c r="M348" s="3"/>
      <c r="N348" s="3">
        <v>7990.0</v>
      </c>
      <c r="P348" s="4">
        <f t="shared" si="29"/>
        <v>7990</v>
      </c>
    </row>
    <row r="349">
      <c r="A349" s="5" t="s">
        <v>12</v>
      </c>
      <c r="F349" s="6"/>
      <c r="G349" s="6"/>
      <c r="H349" s="6"/>
      <c r="I349" s="6"/>
      <c r="J349" s="6"/>
      <c r="K349" s="6"/>
      <c r="L349" s="6"/>
      <c r="M349" s="6"/>
      <c r="N349" s="6"/>
      <c r="O349" s="10" t="str">
        <f>CHANGE(P298,P349)</f>
        <v>#NAME?</v>
      </c>
      <c r="P349" s="7">
        <f>SUM(P335:P348)</f>
        <v>61880</v>
      </c>
    </row>
    <row r="350">
      <c r="A350" s="3">
        <v>2025.0</v>
      </c>
      <c r="B350" s="3" t="s">
        <v>137</v>
      </c>
      <c r="C350" s="1" t="s">
        <v>109</v>
      </c>
      <c r="F350" s="3" t="s">
        <v>15</v>
      </c>
      <c r="H350" s="3" t="s">
        <v>168</v>
      </c>
      <c r="L350" s="3">
        <v>2.0</v>
      </c>
      <c r="N350" s="3">
        <v>2550.0</v>
      </c>
      <c r="P350" s="4">
        <f t="shared" ref="P350:P363" si="30">N350*L350</f>
        <v>5100</v>
      </c>
    </row>
    <row r="351">
      <c r="A351" s="3">
        <v>2025.0</v>
      </c>
      <c r="B351" s="3" t="s">
        <v>137</v>
      </c>
      <c r="C351" s="1" t="s">
        <v>109</v>
      </c>
      <c r="F351" s="3" t="s">
        <v>15</v>
      </c>
      <c r="H351" s="3" t="s">
        <v>73</v>
      </c>
      <c r="L351" s="3">
        <v>1.0</v>
      </c>
      <c r="M351" s="3"/>
      <c r="N351" s="8">
        <v>2600.0</v>
      </c>
      <c r="P351" s="4">
        <f t="shared" si="30"/>
        <v>2600</v>
      </c>
    </row>
    <row r="352">
      <c r="A352" s="3">
        <v>2025.0</v>
      </c>
      <c r="B352" s="3" t="s">
        <v>137</v>
      </c>
      <c r="C352" s="1" t="s">
        <v>109</v>
      </c>
      <c r="F352" s="3" t="s">
        <v>15</v>
      </c>
      <c r="H352" s="3" t="s">
        <v>64</v>
      </c>
      <c r="L352" s="3">
        <v>1.0</v>
      </c>
      <c r="M352" s="3"/>
      <c r="N352" s="9">
        <v>4990.0</v>
      </c>
      <c r="P352" s="4">
        <f t="shared" si="30"/>
        <v>4990</v>
      </c>
    </row>
    <row r="353">
      <c r="A353" s="3">
        <v>2025.0</v>
      </c>
      <c r="B353" s="3" t="s">
        <v>137</v>
      </c>
      <c r="C353" s="1" t="s">
        <v>109</v>
      </c>
      <c r="F353" s="3" t="s">
        <v>15</v>
      </c>
      <c r="H353" s="3" t="s">
        <v>68</v>
      </c>
      <c r="L353" s="3">
        <v>1.0</v>
      </c>
      <c r="M353" s="3"/>
      <c r="N353" s="8">
        <v>4570.0</v>
      </c>
      <c r="P353" s="4">
        <f t="shared" si="30"/>
        <v>4570</v>
      </c>
    </row>
    <row r="354">
      <c r="A354" s="3">
        <v>2025.0</v>
      </c>
      <c r="B354" s="3" t="s">
        <v>137</v>
      </c>
      <c r="C354" s="1" t="s">
        <v>109</v>
      </c>
      <c r="F354" s="3" t="s">
        <v>15</v>
      </c>
      <c r="H354" s="3" t="s">
        <v>66</v>
      </c>
      <c r="L354" s="3">
        <v>1.0</v>
      </c>
      <c r="M354" s="3"/>
      <c r="N354" s="9">
        <v>1150.0</v>
      </c>
      <c r="P354" s="4">
        <f t="shared" si="30"/>
        <v>1150</v>
      </c>
    </row>
    <row r="355">
      <c r="A355" s="3">
        <v>2025.0</v>
      </c>
      <c r="B355" s="3" t="s">
        <v>137</v>
      </c>
      <c r="C355" s="1" t="s">
        <v>109</v>
      </c>
      <c r="F355" s="3" t="s">
        <v>15</v>
      </c>
      <c r="H355" s="3" t="s">
        <v>158</v>
      </c>
      <c r="L355" s="3">
        <v>1.0</v>
      </c>
      <c r="M355" s="3"/>
      <c r="N355" s="9">
        <v>7990.0</v>
      </c>
      <c r="P355" s="4">
        <f t="shared" si="30"/>
        <v>7990</v>
      </c>
    </row>
    <row r="356">
      <c r="A356" s="3">
        <v>2025.0</v>
      </c>
      <c r="B356" s="3" t="s">
        <v>137</v>
      </c>
      <c r="C356" s="1" t="s">
        <v>109</v>
      </c>
      <c r="F356" s="3" t="s">
        <v>15</v>
      </c>
      <c r="H356" s="3" t="s">
        <v>129</v>
      </c>
      <c r="L356" s="3">
        <v>1.0</v>
      </c>
      <c r="M356" s="3"/>
      <c r="N356" s="9">
        <v>4950.0</v>
      </c>
      <c r="P356" s="4">
        <f t="shared" si="30"/>
        <v>4950</v>
      </c>
    </row>
    <row r="357">
      <c r="A357" s="3">
        <v>2025.0</v>
      </c>
      <c r="B357" s="3" t="s">
        <v>137</v>
      </c>
      <c r="C357" s="1" t="s">
        <v>109</v>
      </c>
      <c r="F357" s="3" t="s">
        <v>15</v>
      </c>
      <c r="H357" s="3" t="s">
        <v>140</v>
      </c>
      <c r="L357" s="3">
        <v>1.0</v>
      </c>
      <c r="M357" s="3"/>
      <c r="N357" s="3">
        <v>1750.0</v>
      </c>
      <c r="P357" s="4">
        <f t="shared" si="30"/>
        <v>1750</v>
      </c>
    </row>
    <row r="358">
      <c r="A358" s="3">
        <v>2025.0</v>
      </c>
      <c r="B358" s="3" t="s">
        <v>137</v>
      </c>
      <c r="C358" s="1" t="s">
        <v>109</v>
      </c>
      <c r="F358" s="3" t="s">
        <v>15</v>
      </c>
      <c r="H358" s="3" t="s">
        <v>62</v>
      </c>
      <c r="L358" s="3">
        <v>1.0</v>
      </c>
      <c r="M358" s="3"/>
      <c r="N358" s="8">
        <v>2200.0</v>
      </c>
      <c r="P358" s="4">
        <f t="shared" si="30"/>
        <v>2200</v>
      </c>
    </row>
    <row r="359">
      <c r="A359" s="3">
        <v>2025.0</v>
      </c>
      <c r="B359" s="3" t="s">
        <v>137</v>
      </c>
      <c r="C359" s="1" t="s">
        <v>109</v>
      </c>
      <c r="F359" s="3" t="s">
        <v>15</v>
      </c>
      <c r="H359" s="3" t="s">
        <v>136</v>
      </c>
      <c r="L359" s="3">
        <v>1.0</v>
      </c>
      <c r="M359" s="3"/>
      <c r="N359" s="3">
        <v>4950.0</v>
      </c>
      <c r="P359" s="4">
        <f t="shared" si="30"/>
        <v>4950</v>
      </c>
    </row>
    <row r="360">
      <c r="A360" s="3">
        <v>2025.0</v>
      </c>
      <c r="B360" s="3" t="s">
        <v>137</v>
      </c>
      <c r="C360" s="1" t="s">
        <v>109</v>
      </c>
      <c r="F360" s="3" t="s">
        <v>15</v>
      </c>
      <c r="H360" s="3" t="s">
        <v>72</v>
      </c>
      <c r="L360" s="3">
        <v>1.0</v>
      </c>
      <c r="M360" s="3"/>
      <c r="N360" s="8">
        <v>8700.0</v>
      </c>
      <c r="P360" s="4">
        <f t="shared" si="30"/>
        <v>8700</v>
      </c>
    </row>
    <row r="361">
      <c r="A361" s="3">
        <v>2025.0</v>
      </c>
      <c r="B361" s="3" t="s">
        <v>137</v>
      </c>
      <c r="C361" s="1" t="s">
        <v>109</v>
      </c>
      <c r="F361" s="3" t="s">
        <v>15</v>
      </c>
      <c r="H361" s="3" t="s">
        <v>135</v>
      </c>
      <c r="L361" s="3">
        <v>1.0</v>
      </c>
      <c r="M361" s="3"/>
      <c r="N361" s="9">
        <v>1150.0</v>
      </c>
      <c r="P361" s="4">
        <f t="shared" si="30"/>
        <v>1150</v>
      </c>
    </row>
    <row r="362">
      <c r="A362" s="3">
        <v>2025.0</v>
      </c>
      <c r="B362" s="3" t="s">
        <v>137</v>
      </c>
      <c r="C362" s="1" t="s">
        <v>109</v>
      </c>
      <c r="F362" s="3" t="s">
        <v>15</v>
      </c>
      <c r="H362" s="3" t="s">
        <v>74</v>
      </c>
      <c r="L362" s="3">
        <v>1.0</v>
      </c>
      <c r="M362" s="3"/>
      <c r="N362" s="8">
        <v>3790.0</v>
      </c>
      <c r="P362" s="4">
        <f t="shared" si="30"/>
        <v>3790</v>
      </c>
    </row>
    <row r="363">
      <c r="A363" s="3">
        <v>2025.0</v>
      </c>
      <c r="B363" s="3" t="s">
        <v>137</v>
      </c>
      <c r="C363" s="1" t="s">
        <v>109</v>
      </c>
      <c r="F363" s="3" t="s">
        <v>15</v>
      </c>
      <c r="G363" s="3" t="s">
        <v>16</v>
      </c>
      <c r="H363" s="3" t="s">
        <v>78</v>
      </c>
      <c r="L363" s="3">
        <v>1.0</v>
      </c>
      <c r="M363" s="3"/>
      <c r="N363" s="3">
        <v>7990.0</v>
      </c>
      <c r="P363" s="4">
        <f t="shared" si="30"/>
        <v>7990</v>
      </c>
    </row>
    <row r="364">
      <c r="A364" s="5" t="s">
        <v>12</v>
      </c>
      <c r="F364" s="6"/>
      <c r="G364" s="6"/>
      <c r="H364" s="6"/>
      <c r="I364" s="6"/>
      <c r="J364" s="6"/>
      <c r="K364" s="6"/>
      <c r="L364" s="6"/>
      <c r="M364" s="6"/>
      <c r="N364" s="6"/>
      <c r="O364" s="10" t="str">
        <f>CHANGE(P313,P364)</f>
        <v>#NAME?</v>
      </c>
      <c r="P364" s="7">
        <f>SUM(P350:P363)</f>
        <v>61880</v>
      </c>
    </row>
    <row r="365">
      <c r="A365" s="3">
        <v>2025.0</v>
      </c>
      <c r="B365" s="3" t="s">
        <v>169</v>
      </c>
      <c r="C365" s="1" t="s">
        <v>14</v>
      </c>
      <c r="F365" s="3" t="s">
        <v>15</v>
      </c>
      <c r="H365" s="3" t="s">
        <v>76</v>
      </c>
      <c r="L365" s="3">
        <v>1.0</v>
      </c>
      <c r="M365" s="3"/>
      <c r="N365" s="8">
        <v>1650.0</v>
      </c>
      <c r="P365" s="4">
        <f t="shared" ref="P365:P382" si="31">N365*L365</f>
        <v>1650</v>
      </c>
    </row>
    <row r="366">
      <c r="A366" s="3">
        <v>2025.0</v>
      </c>
      <c r="B366" s="3" t="s">
        <v>169</v>
      </c>
      <c r="C366" s="1" t="s">
        <v>14</v>
      </c>
      <c r="F366" s="3" t="s">
        <v>15</v>
      </c>
      <c r="H366" s="3" t="s">
        <v>73</v>
      </c>
      <c r="L366" s="3">
        <v>1.0</v>
      </c>
      <c r="M366" s="3"/>
      <c r="N366" s="8">
        <v>2600.0</v>
      </c>
      <c r="P366" s="4">
        <f t="shared" si="31"/>
        <v>2600</v>
      </c>
    </row>
    <row r="367">
      <c r="A367" s="3">
        <v>2025.0</v>
      </c>
      <c r="B367" s="3" t="s">
        <v>169</v>
      </c>
      <c r="C367" s="1" t="s">
        <v>14</v>
      </c>
      <c r="F367" s="3" t="s">
        <v>15</v>
      </c>
      <c r="G367" s="20"/>
      <c r="H367" s="3" t="s">
        <v>161</v>
      </c>
      <c r="I367" s="20"/>
      <c r="J367" s="20"/>
      <c r="K367" s="20"/>
      <c r="L367" s="3">
        <v>1.0</v>
      </c>
      <c r="N367" s="3">
        <v>2200.0</v>
      </c>
      <c r="O367" s="22"/>
      <c r="P367" s="4">
        <f t="shared" si="31"/>
        <v>2200</v>
      </c>
    </row>
    <row r="368">
      <c r="A368" s="3">
        <v>2025.0</v>
      </c>
      <c r="B368" s="3" t="s">
        <v>169</v>
      </c>
      <c r="C368" s="1" t="s">
        <v>14</v>
      </c>
      <c r="F368" s="3" t="s">
        <v>15</v>
      </c>
      <c r="H368" s="3" t="s">
        <v>71</v>
      </c>
      <c r="L368" s="3">
        <v>1.0</v>
      </c>
      <c r="M368" s="3"/>
      <c r="N368" s="8">
        <v>5350.0</v>
      </c>
      <c r="P368" s="4">
        <f t="shared" si="31"/>
        <v>5350</v>
      </c>
    </row>
    <row r="369">
      <c r="A369" s="3">
        <v>2025.0</v>
      </c>
      <c r="B369" s="3" t="s">
        <v>169</v>
      </c>
      <c r="C369" s="1" t="s">
        <v>14</v>
      </c>
      <c r="F369" s="3" t="s">
        <v>15</v>
      </c>
      <c r="H369" s="3" t="s">
        <v>164</v>
      </c>
      <c r="L369" s="3">
        <v>1.0</v>
      </c>
      <c r="M369" s="3"/>
      <c r="N369" s="9">
        <v>2900.0</v>
      </c>
      <c r="P369" s="4">
        <f t="shared" si="31"/>
        <v>2900</v>
      </c>
    </row>
    <row r="370">
      <c r="A370" s="3">
        <v>2025.0</v>
      </c>
      <c r="B370" s="3" t="s">
        <v>169</v>
      </c>
      <c r="C370" s="1" t="s">
        <v>14</v>
      </c>
      <c r="F370" s="3" t="s">
        <v>15</v>
      </c>
      <c r="H370" s="3" t="s">
        <v>74</v>
      </c>
      <c r="L370" s="3">
        <v>1.0</v>
      </c>
      <c r="M370" s="3"/>
      <c r="N370" s="8">
        <v>3790.0</v>
      </c>
      <c r="P370" s="4">
        <f t="shared" si="31"/>
        <v>3790</v>
      </c>
    </row>
    <row r="371">
      <c r="A371" s="3">
        <v>2025.0</v>
      </c>
      <c r="B371" s="3" t="s">
        <v>169</v>
      </c>
      <c r="C371" s="1" t="s">
        <v>14</v>
      </c>
      <c r="F371" s="3" t="s">
        <v>15</v>
      </c>
      <c r="H371" s="3" t="s">
        <v>170</v>
      </c>
      <c r="L371" s="3">
        <v>1.0</v>
      </c>
      <c r="M371" s="3"/>
      <c r="N371" s="9">
        <v>2150.0</v>
      </c>
      <c r="P371" s="4">
        <f t="shared" si="31"/>
        <v>2150</v>
      </c>
    </row>
    <row r="372">
      <c r="A372" s="3">
        <v>2025.0</v>
      </c>
      <c r="B372" s="3" t="s">
        <v>169</v>
      </c>
      <c r="C372" s="1" t="s">
        <v>14</v>
      </c>
      <c r="F372" s="3" t="s">
        <v>15</v>
      </c>
      <c r="H372" s="3" t="s">
        <v>72</v>
      </c>
      <c r="L372" s="3">
        <v>1.0</v>
      </c>
      <c r="M372" s="3"/>
      <c r="N372" s="8">
        <v>8700.0</v>
      </c>
      <c r="P372" s="4">
        <f t="shared" si="31"/>
        <v>8700</v>
      </c>
    </row>
    <row r="373">
      <c r="A373" s="3">
        <v>2025.0</v>
      </c>
      <c r="B373" s="3" t="s">
        <v>169</v>
      </c>
      <c r="C373" s="1" t="s">
        <v>14</v>
      </c>
      <c r="F373" s="3" t="s">
        <v>15</v>
      </c>
      <c r="H373" s="3" t="s">
        <v>75</v>
      </c>
      <c r="L373" s="3">
        <v>1.0</v>
      </c>
      <c r="M373" s="3"/>
      <c r="N373" s="9">
        <v>4490.0</v>
      </c>
      <c r="P373" s="4">
        <f t="shared" si="31"/>
        <v>4490</v>
      </c>
    </row>
    <row r="374">
      <c r="A374" s="3">
        <v>2025.0</v>
      </c>
      <c r="B374" s="3" t="s">
        <v>169</v>
      </c>
      <c r="C374" s="1" t="s">
        <v>14</v>
      </c>
      <c r="F374" s="3" t="s">
        <v>15</v>
      </c>
      <c r="H374" s="3" t="s">
        <v>140</v>
      </c>
      <c r="L374" s="3">
        <v>1.0</v>
      </c>
      <c r="M374" s="3"/>
      <c r="N374" s="3">
        <v>1750.0</v>
      </c>
      <c r="P374" s="4">
        <f t="shared" si="31"/>
        <v>1750</v>
      </c>
    </row>
    <row r="375">
      <c r="A375" s="3">
        <v>2025.0</v>
      </c>
      <c r="B375" s="3" t="s">
        <v>169</v>
      </c>
      <c r="C375" s="1" t="s">
        <v>14</v>
      </c>
      <c r="F375" s="3" t="s">
        <v>15</v>
      </c>
      <c r="H375" s="3" t="s">
        <v>64</v>
      </c>
      <c r="L375" s="3">
        <v>2.0</v>
      </c>
      <c r="M375" s="3"/>
      <c r="N375" s="9">
        <v>4990.0</v>
      </c>
      <c r="P375" s="4">
        <f t="shared" si="31"/>
        <v>9980</v>
      </c>
    </row>
    <row r="376">
      <c r="A376" s="3">
        <v>2025.0</v>
      </c>
      <c r="B376" s="3" t="s">
        <v>169</v>
      </c>
      <c r="C376" s="1" t="s">
        <v>14</v>
      </c>
      <c r="F376" s="3" t="s">
        <v>15</v>
      </c>
      <c r="H376" s="3" t="s">
        <v>171</v>
      </c>
      <c r="L376" s="3">
        <v>1.0</v>
      </c>
      <c r="N376" s="3">
        <v>11950.0</v>
      </c>
      <c r="P376" s="4">
        <f t="shared" si="31"/>
        <v>11950</v>
      </c>
    </row>
    <row r="377">
      <c r="A377" s="3">
        <v>2025.0</v>
      </c>
      <c r="B377" s="3" t="s">
        <v>169</v>
      </c>
      <c r="C377" s="1" t="s">
        <v>14</v>
      </c>
      <c r="F377" s="3" t="s">
        <v>15</v>
      </c>
      <c r="H377" s="3" t="s">
        <v>70</v>
      </c>
      <c r="L377" s="3">
        <v>1.0</v>
      </c>
      <c r="M377" s="3"/>
      <c r="N377" s="8">
        <v>6450.0</v>
      </c>
      <c r="P377" s="4">
        <f t="shared" si="31"/>
        <v>6450</v>
      </c>
    </row>
    <row r="378">
      <c r="A378" s="3">
        <v>2025.0</v>
      </c>
      <c r="B378" s="3" t="s">
        <v>169</v>
      </c>
      <c r="C378" s="1" t="s">
        <v>14</v>
      </c>
      <c r="F378" s="3" t="s">
        <v>15</v>
      </c>
      <c r="H378" s="3" t="s">
        <v>136</v>
      </c>
      <c r="L378" s="3">
        <v>1.0</v>
      </c>
      <c r="M378" s="3"/>
      <c r="N378" s="3">
        <v>4950.0</v>
      </c>
      <c r="P378" s="4">
        <f t="shared" si="31"/>
        <v>4950</v>
      </c>
    </row>
    <row r="379">
      <c r="A379" s="3">
        <v>2025.0</v>
      </c>
      <c r="B379" s="3" t="s">
        <v>169</v>
      </c>
      <c r="C379" s="1" t="s">
        <v>14</v>
      </c>
      <c r="F379" s="3" t="s">
        <v>15</v>
      </c>
      <c r="H379" s="3" t="s">
        <v>69</v>
      </c>
      <c r="L379" s="3">
        <v>3.0</v>
      </c>
      <c r="M379" s="3"/>
      <c r="N379" s="3">
        <v>1990.0</v>
      </c>
      <c r="P379" s="4">
        <f t="shared" si="31"/>
        <v>5970</v>
      </c>
    </row>
    <row r="380">
      <c r="A380" s="3">
        <v>2025.0</v>
      </c>
      <c r="B380" s="3" t="s">
        <v>169</v>
      </c>
      <c r="C380" s="1" t="s">
        <v>14</v>
      </c>
      <c r="F380" s="3" t="s">
        <v>15</v>
      </c>
      <c r="H380" s="3" t="s">
        <v>135</v>
      </c>
      <c r="L380" s="3">
        <v>1.0</v>
      </c>
      <c r="M380" s="3"/>
      <c r="N380" s="9">
        <v>1150.0</v>
      </c>
      <c r="P380" s="4">
        <f t="shared" si="31"/>
        <v>1150</v>
      </c>
    </row>
    <row r="381">
      <c r="A381" s="3">
        <v>2025.0</v>
      </c>
      <c r="B381" s="3" t="s">
        <v>169</v>
      </c>
      <c r="C381" s="1" t="s">
        <v>14</v>
      </c>
      <c r="F381" s="3" t="s">
        <v>15</v>
      </c>
      <c r="H381" s="3" t="s">
        <v>66</v>
      </c>
      <c r="L381" s="3">
        <v>1.0</v>
      </c>
      <c r="M381" s="3"/>
      <c r="N381" s="9">
        <v>1150.0</v>
      </c>
      <c r="P381" s="4">
        <f t="shared" si="31"/>
        <v>1150</v>
      </c>
    </row>
    <row r="382">
      <c r="A382" s="3">
        <v>2025.0</v>
      </c>
      <c r="B382" s="3" t="s">
        <v>169</v>
      </c>
      <c r="C382" s="1" t="s">
        <v>14</v>
      </c>
      <c r="F382" s="3" t="s">
        <v>15</v>
      </c>
      <c r="H382" s="3" t="s">
        <v>172</v>
      </c>
      <c r="L382" s="3">
        <v>1.0</v>
      </c>
      <c r="M382" s="3"/>
      <c r="N382" s="9">
        <v>1990.0</v>
      </c>
      <c r="P382" s="4">
        <f t="shared" si="31"/>
        <v>1990</v>
      </c>
    </row>
    <row r="383">
      <c r="A383" s="5" t="s">
        <v>12</v>
      </c>
      <c r="F383" s="6"/>
      <c r="G383" s="6"/>
      <c r="H383" s="6"/>
      <c r="I383" s="6"/>
      <c r="J383" s="6"/>
      <c r="K383" s="6"/>
      <c r="L383" s="6"/>
      <c r="M383" s="6"/>
      <c r="N383" s="6"/>
      <c r="O383" s="10" t="str">
        <f>CHANGE(P332,P383)</f>
        <v>#NAME?</v>
      </c>
      <c r="P383" s="7">
        <f>SUM(P365:P382)</f>
        <v>79170</v>
      </c>
    </row>
    <row r="384">
      <c r="A384" s="3">
        <v>2025.0</v>
      </c>
      <c r="B384" s="3" t="s">
        <v>173</v>
      </c>
      <c r="C384" s="1" t="s">
        <v>14</v>
      </c>
      <c r="F384" s="3" t="s">
        <v>26</v>
      </c>
      <c r="G384" s="3" t="s">
        <v>16</v>
      </c>
      <c r="H384" s="3" t="s">
        <v>174</v>
      </c>
      <c r="I384" s="3" t="s">
        <v>175</v>
      </c>
      <c r="L384" s="3">
        <v>1.0</v>
      </c>
      <c r="N384" s="3">
        <v>22750.0</v>
      </c>
      <c r="P384" s="4">
        <f>N384*L384</f>
        <v>22750</v>
      </c>
    </row>
    <row r="385">
      <c r="A385" s="3">
        <v>2025.0</v>
      </c>
      <c r="B385" s="3" t="s">
        <v>173</v>
      </c>
      <c r="C385" s="1" t="s">
        <v>14</v>
      </c>
      <c r="F385" s="3" t="s">
        <v>26</v>
      </c>
      <c r="G385" s="3" t="s">
        <v>33</v>
      </c>
      <c r="H385" s="3" t="s">
        <v>131</v>
      </c>
      <c r="I385" s="3" t="s">
        <v>26</v>
      </c>
      <c r="J385" s="13">
        <v>1016.0</v>
      </c>
      <c r="K385" s="3"/>
      <c r="N385" s="3">
        <v>32980.0</v>
      </c>
      <c r="P385" s="4">
        <f t="shared" ref="P385:P398" si="32">N385*J385/1000</f>
        <v>33507.68</v>
      </c>
    </row>
    <row r="386">
      <c r="A386" s="3">
        <v>2025.0</v>
      </c>
      <c r="B386" s="3" t="s">
        <v>173</v>
      </c>
      <c r="C386" s="1" t="s">
        <v>14</v>
      </c>
      <c r="F386" s="3" t="s">
        <v>26</v>
      </c>
      <c r="G386" s="3" t="s">
        <v>33</v>
      </c>
      <c r="H386" s="3" t="s">
        <v>43</v>
      </c>
      <c r="I386" s="3" t="s">
        <v>26</v>
      </c>
      <c r="J386" s="13">
        <v>1048.0</v>
      </c>
      <c r="N386" s="13">
        <v>29980.0</v>
      </c>
      <c r="P386" s="4">
        <f t="shared" si="32"/>
        <v>31419.04</v>
      </c>
    </row>
    <row r="387">
      <c r="A387" s="3">
        <v>2025.0</v>
      </c>
      <c r="B387" s="3" t="s">
        <v>173</v>
      </c>
      <c r="C387" s="1" t="s">
        <v>14</v>
      </c>
      <c r="F387" s="3" t="s">
        <v>26</v>
      </c>
      <c r="G387" s="3" t="s">
        <v>33</v>
      </c>
      <c r="H387" s="3" t="s">
        <v>83</v>
      </c>
      <c r="I387" s="3" t="s">
        <v>26</v>
      </c>
      <c r="J387" s="13">
        <v>1094.0</v>
      </c>
      <c r="N387" s="13">
        <v>15380.0</v>
      </c>
      <c r="P387" s="4">
        <f t="shared" si="32"/>
        <v>16825.72</v>
      </c>
    </row>
    <row r="388">
      <c r="A388" s="3">
        <v>2025.0</v>
      </c>
      <c r="B388" s="3" t="s">
        <v>173</v>
      </c>
      <c r="C388" s="1" t="s">
        <v>14</v>
      </c>
      <c r="F388" s="3" t="s">
        <v>26</v>
      </c>
      <c r="G388" s="3" t="s">
        <v>33</v>
      </c>
      <c r="H388" s="3" t="s">
        <v>84</v>
      </c>
      <c r="I388" s="3" t="s">
        <v>26</v>
      </c>
      <c r="J388" s="13">
        <v>940.0</v>
      </c>
      <c r="N388" s="13">
        <v>26980.0</v>
      </c>
      <c r="P388" s="4">
        <f t="shared" si="32"/>
        <v>25361.2</v>
      </c>
    </row>
    <row r="389">
      <c r="A389" s="3">
        <v>2025.0</v>
      </c>
      <c r="B389" s="3" t="s">
        <v>173</v>
      </c>
      <c r="C389" s="1" t="s">
        <v>14</v>
      </c>
      <c r="F389" s="3" t="s">
        <v>26</v>
      </c>
      <c r="G389" s="3" t="s">
        <v>33</v>
      </c>
      <c r="H389" s="3" t="s">
        <v>42</v>
      </c>
      <c r="I389" s="3" t="s">
        <v>26</v>
      </c>
      <c r="J389" s="13">
        <v>788.0</v>
      </c>
      <c r="K389" s="3"/>
      <c r="N389" s="3">
        <v>15700.0</v>
      </c>
      <c r="P389" s="4">
        <f t="shared" si="32"/>
        <v>12371.6</v>
      </c>
    </row>
    <row r="390">
      <c r="A390" s="3">
        <v>2025.0</v>
      </c>
      <c r="B390" s="3" t="s">
        <v>173</v>
      </c>
      <c r="C390" s="1" t="s">
        <v>14</v>
      </c>
      <c r="F390" s="3" t="s">
        <v>26</v>
      </c>
      <c r="G390" s="3" t="s">
        <v>33</v>
      </c>
      <c r="H390" s="3" t="s">
        <v>56</v>
      </c>
      <c r="I390" s="3" t="s">
        <v>26</v>
      </c>
      <c r="J390" s="3">
        <f>2535+2805</f>
        <v>5340</v>
      </c>
      <c r="K390" s="3"/>
      <c r="N390" s="3">
        <v>8580.0</v>
      </c>
      <c r="P390" s="4">
        <f t="shared" si="32"/>
        <v>45817.2</v>
      </c>
    </row>
    <row r="391">
      <c r="A391" s="3">
        <v>2025.0</v>
      </c>
      <c r="B391" s="3" t="s">
        <v>173</v>
      </c>
      <c r="C391" s="1" t="s">
        <v>14</v>
      </c>
      <c r="F391" s="3" t="s">
        <v>26</v>
      </c>
      <c r="G391" s="3" t="s">
        <v>33</v>
      </c>
      <c r="H391" s="3" t="s">
        <v>176</v>
      </c>
      <c r="I391" s="3" t="s">
        <v>26</v>
      </c>
      <c r="J391" s="13">
        <v>755.0</v>
      </c>
      <c r="N391" s="13">
        <v>3780.0</v>
      </c>
      <c r="P391" s="4">
        <f t="shared" si="32"/>
        <v>2853.9</v>
      </c>
    </row>
    <row r="392">
      <c r="A392" s="3">
        <v>2025.0</v>
      </c>
      <c r="B392" s="3" t="s">
        <v>173</v>
      </c>
      <c r="C392" s="1" t="s">
        <v>14</v>
      </c>
      <c r="F392" s="3" t="s">
        <v>26</v>
      </c>
      <c r="G392" s="3" t="s">
        <v>29</v>
      </c>
      <c r="H392" s="3" t="s">
        <v>81</v>
      </c>
      <c r="I392" s="3" t="s">
        <v>26</v>
      </c>
      <c r="J392" s="13">
        <v>2540.0</v>
      </c>
      <c r="N392" s="13">
        <v>2380.0</v>
      </c>
      <c r="P392" s="4">
        <f t="shared" si="32"/>
        <v>6045.2</v>
      </c>
    </row>
    <row r="393">
      <c r="A393" s="3">
        <v>2025.0</v>
      </c>
      <c r="B393" s="3" t="s">
        <v>173</v>
      </c>
      <c r="C393" s="1" t="s">
        <v>14</v>
      </c>
      <c r="F393" s="3" t="s">
        <v>26</v>
      </c>
      <c r="G393" s="3" t="s">
        <v>31</v>
      </c>
      <c r="H393" s="3" t="s">
        <v>55</v>
      </c>
      <c r="I393" s="3" t="s">
        <v>26</v>
      </c>
      <c r="J393" s="13">
        <v>745.0</v>
      </c>
      <c r="K393" s="3"/>
      <c r="N393" s="3">
        <v>2780.0</v>
      </c>
      <c r="P393" s="4">
        <f t="shared" si="32"/>
        <v>2071.1</v>
      </c>
    </row>
    <row r="394">
      <c r="A394" s="3">
        <v>2025.0</v>
      </c>
      <c r="B394" s="3" t="s">
        <v>173</v>
      </c>
      <c r="C394" s="1" t="s">
        <v>14</v>
      </c>
      <c r="F394" s="3" t="s">
        <v>26</v>
      </c>
      <c r="G394" s="3" t="s">
        <v>31</v>
      </c>
      <c r="H394" s="3" t="s">
        <v>177</v>
      </c>
      <c r="I394" s="3" t="s">
        <v>26</v>
      </c>
      <c r="J394" s="13">
        <v>1435.0</v>
      </c>
      <c r="K394" s="3"/>
      <c r="N394" s="3">
        <v>4300.0</v>
      </c>
      <c r="P394" s="4">
        <f t="shared" si="32"/>
        <v>6170.5</v>
      </c>
    </row>
    <row r="395">
      <c r="A395" s="3">
        <v>2025.0</v>
      </c>
      <c r="B395" s="3" t="s">
        <v>173</v>
      </c>
      <c r="C395" s="1" t="s">
        <v>14</v>
      </c>
      <c r="F395" s="3" t="s">
        <v>26</v>
      </c>
      <c r="G395" s="3" t="s">
        <v>31</v>
      </c>
      <c r="H395" s="3" t="s">
        <v>58</v>
      </c>
      <c r="I395" s="3" t="s">
        <v>26</v>
      </c>
      <c r="J395" s="13">
        <v>3855.0</v>
      </c>
      <c r="K395" s="3"/>
      <c r="N395" s="3">
        <v>5180.0</v>
      </c>
      <c r="P395" s="4">
        <f t="shared" si="32"/>
        <v>19968.9</v>
      </c>
    </row>
    <row r="396">
      <c r="A396" s="3">
        <v>2025.0</v>
      </c>
      <c r="B396" s="3" t="s">
        <v>173</v>
      </c>
      <c r="C396" s="1" t="s">
        <v>14</v>
      </c>
      <c r="F396" s="3" t="s">
        <v>26</v>
      </c>
      <c r="G396" s="3" t="s">
        <v>31</v>
      </c>
      <c r="H396" s="3" t="s">
        <v>178</v>
      </c>
      <c r="I396" s="3" t="s">
        <v>26</v>
      </c>
      <c r="J396" s="13">
        <v>490.0</v>
      </c>
      <c r="K396" s="3"/>
      <c r="N396" s="3">
        <v>4780.0</v>
      </c>
      <c r="P396" s="4">
        <f t="shared" si="32"/>
        <v>2342.2</v>
      </c>
    </row>
    <row r="397">
      <c r="A397" s="3">
        <v>2025.0</v>
      </c>
      <c r="B397" s="3" t="s">
        <v>173</v>
      </c>
      <c r="C397" s="1" t="s">
        <v>14</v>
      </c>
      <c r="F397" s="3" t="s">
        <v>26</v>
      </c>
      <c r="G397" s="3" t="s">
        <v>31</v>
      </c>
      <c r="H397" s="3" t="s">
        <v>87</v>
      </c>
      <c r="I397" s="3" t="s">
        <v>26</v>
      </c>
      <c r="J397" s="13">
        <v>970.0</v>
      </c>
      <c r="N397" s="13">
        <v>3980.0</v>
      </c>
      <c r="P397" s="4">
        <f t="shared" si="32"/>
        <v>3860.6</v>
      </c>
    </row>
    <row r="398">
      <c r="A398" s="3">
        <v>2025.0</v>
      </c>
      <c r="B398" s="3" t="s">
        <v>173</v>
      </c>
      <c r="C398" s="1" t="s">
        <v>14</v>
      </c>
      <c r="F398" s="3" t="s">
        <v>26</v>
      </c>
      <c r="G398" s="3" t="s">
        <v>31</v>
      </c>
      <c r="H398" s="3" t="s">
        <v>179</v>
      </c>
      <c r="I398" s="3" t="s">
        <v>26</v>
      </c>
      <c r="J398" s="13">
        <v>310.0</v>
      </c>
      <c r="N398" s="13">
        <v>4980.0</v>
      </c>
      <c r="P398" s="4">
        <f t="shared" si="32"/>
        <v>1543.8</v>
      </c>
    </row>
    <row r="399">
      <c r="A399" s="3">
        <v>2025.0</v>
      </c>
      <c r="B399" s="3" t="s">
        <v>173</v>
      </c>
      <c r="C399" s="1" t="s">
        <v>14</v>
      </c>
      <c r="F399" s="3" t="s">
        <v>26</v>
      </c>
      <c r="G399" s="3" t="s">
        <v>31</v>
      </c>
      <c r="H399" s="3" t="s">
        <v>180</v>
      </c>
      <c r="I399" s="3" t="s">
        <v>181</v>
      </c>
      <c r="J399" s="3">
        <v>500.0</v>
      </c>
      <c r="L399" s="3">
        <v>1.0</v>
      </c>
      <c r="N399" s="3">
        <v>1500.0</v>
      </c>
      <c r="P399" s="4">
        <f>N399*L399</f>
        <v>1500</v>
      </c>
    </row>
    <row r="400">
      <c r="A400" s="3">
        <v>2025.0</v>
      </c>
      <c r="B400" s="3" t="s">
        <v>173</v>
      </c>
      <c r="C400" s="1" t="s">
        <v>14</v>
      </c>
      <c r="F400" s="3" t="s">
        <v>26</v>
      </c>
      <c r="G400" s="3" t="s">
        <v>31</v>
      </c>
      <c r="H400" s="3" t="s">
        <v>54</v>
      </c>
      <c r="I400" s="3" t="s">
        <v>26</v>
      </c>
      <c r="J400" s="3">
        <f>790+685</f>
        <v>1475</v>
      </c>
      <c r="K400" s="3"/>
      <c r="N400" s="3">
        <v>4180.0</v>
      </c>
      <c r="P400" s="4">
        <f t="shared" ref="P400:P404" si="33">N400*J400/1000</f>
        <v>6165.5</v>
      </c>
    </row>
    <row r="401">
      <c r="A401" s="3">
        <v>2025.0</v>
      </c>
      <c r="B401" s="3" t="s">
        <v>173</v>
      </c>
      <c r="C401" s="1" t="s">
        <v>14</v>
      </c>
      <c r="F401" s="3" t="s">
        <v>26</v>
      </c>
      <c r="G401" s="3" t="s">
        <v>31</v>
      </c>
      <c r="H401" s="3" t="s">
        <v>46</v>
      </c>
      <c r="I401" s="3" t="s">
        <v>26</v>
      </c>
      <c r="J401" s="13">
        <v>3595.0</v>
      </c>
      <c r="K401" s="3"/>
      <c r="N401" s="3">
        <v>2980.0</v>
      </c>
      <c r="P401" s="4">
        <f t="shared" si="33"/>
        <v>10713.1</v>
      </c>
    </row>
    <row r="402">
      <c r="A402" s="3">
        <v>2025.0</v>
      </c>
      <c r="B402" s="3" t="s">
        <v>173</v>
      </c>
      <c r="C402" s="1" t="s">
        <v>14</v>
      </c>
      <c r="F402" s="3" t="s">
        <v>26</v>
      </c>
      <c r="G402" s="3" t="s">
        <v>31</v>
      </c>
      <c r="H402" s="3" t="s">
        <v>59</v>
      </c>
      <c r="I402" s="3" t="s">
        <v>26</v>
      </c>
      <c r="J402" s="13">
        <f>705+575</f>
        <v>1280</v>
      </c>
      <c r="K402" s="3"/>
      <c r="N402" s="3">
        <v>4780.0</v>
      </c>
      <c r="P402" s="4">
        <f t="shared" si="33"/>
        <v>6118.4</v>
      </c>
    </row>
    <row r="403">
      <c r="A403" s="3">
        <v>2025.0</v>
      </c>
      <c r="B403" s="3" t="s">
        <v>173</v>
      </c>
      <c r="C403" s="1" t="s">
        <v>14</v>
      </c>
      <c r="F403" s="3" t="s">
        <v>26</v>
      </c>
      <c r="G403" s="3" t="s">
        <v>31</v>
      </c>
      <c r="H403" s="3" t="s">
        <v>53</v>
      </c>
      <c r="I403" s="3" t="s">
        <v>26</v>
      </c>
      <c r="J403" s="13">
        <v>2080.0</v>
      </c>
      <c r="K403" s="3"/>
      <c r="N403" s="3">
        <v>3180.0</v>
      </c>
      <c r="P403" s="4">
        <f t="shared" si="33"/>
        <v>6614.4</v>
      </c>
    </row>
    <row r="404">
      <c r="A404" s="3">
        <v>2025.0</v>
      </c>
      <c r="B404" s="3" t="s">
        <v>173</v>
      </c>
      <c r="C404" s="1" t="s">
        <v>14</v>
      </c>
      <c r="F404" s="3" t="s">
        <v>26</v>
      </c>
      <c r="G404" s="3" t="s">
        <v>31</v>
      </c>
      <c r="H404" s="3" t="s">
        <v>93</v>
      </c>
      <c r="I404" s="3" t="s">
        <v>26</v>
      </c>
      <c r="J404" s="13">
        <v>2155.0</v>
      </c>
      <c r="N404" s="3">
        <v>980.0</v>
      </c>
      <c r="P404" s="4">
        <f t="shared" si="33"/>
        <v>2111.9</v>
      </c>
    </row>
    <row r="405">
      <c r="A405" s="3">
        <v>2025.0</v>
      </c>
      <c r="B405" s="3" t="s">
        <v>173</v>
      </c>
      <c r="C405" s="1" t="s">
        <v>14</v>
      </c>
      <c r="F405" s="3" t="s">
        <v>26</v>
      </c>
      <c r="G405" s="3" t="s">
        <v>48</v>
      </c>
      <c r="H405" s="3" t="s">
        <v>49</v>
      </c>
      <c r="I405" s="3" t="s">
        <v>35</v>
      </c>
      <c r="J405" s="3">
        <v>500.0</v>
      </c>
      <c r="K405" s="3"/>
      <c r="L405" s="3">
        <v>1.0</v>
      </c>
      <c r="M405" s="3"/>
      <c r="N405" s="3">
        <v>3300.0</v>
      </c>
      <c r="P405" s="4">
        <f t="shared" ref="P405:P411" si="34">N405*L405</f>
        <v>3300</v>
      </c>
    </row>
    <row r="406">
      <c r="A406" s="3">
        <v>2025.0</v>
      </c>
      <c r="B406" s="3" t="s">
        <v>173</v>
      </c>
      <c r="C406" s="1" t="s">
        <v>14</v>
      </c>
      <c r="F406" s="3" t="s">
        <v>26</v>
      </c>
      <c r="G406" s="3" t="s">
        <v>48</v>
      </c>
      <c r="H406" s="3" t="s">
        <v>50</v>
      </c>
      <c r="I406" s="3" t="s">
        <v>35</v>
      </c>
      <c r="J406" s="3">
        <v>500.0</v>
      </c>
      <c r="K406" s="3"/>
      <c r="L406" s="3">
        <v>1.0</v>
      </c>
      <c r="M406" s="3"/>
      <c r="N406" s="3">
        <v>4290.0</v>
      </c>
      <c r="P406" s="4">
        <f t="shared" si="34"/>
        <v>4290</v>
      </c>
    </row>
    <row r="407">
      <c r="A407" s="3">
        <v>2025.0</v>
      </c>
      <c r="B407" s="3" t="s">
        <v>173</v>
      </c>
      <c r="C407" s="1" t="s">
        <v>14</v>
      </c>
      <c r="F407" s="3" t="s">
        <v>26</v>
      </c>
      <c r="G407" s="3" t="s">
        <v>38</v>
      </c>
      <c r="H407" s="3" t="s">
        <v>39</v>
      </c>
      <c r="I407" s="3" t="s">
        <v>40</v>
      </c>
      <c r="J407" s="3">
        <v>400.0</v>
      </c>
      <c r="K407" s="3"/>
      <c r="L407" s="3">
        <v>1.0</v>
      </c>
      <c r="M407" s="3"/>
      <c r="N407" s="3">
        <v>17950.0</v>
      </c>
      <c r="P407" s="4">
        <f t="shared" si="34"/>
        <v>17950</v>
      </c>
    </row>
    <row r="408">
      <c r="A408" s="3">
        <v>2025.0</v>
      </c>
      <c r="B408" s="3" t="s">
        <v>173</v>
      </c>
      <c r="C408" s="1" t="s">
        <v>14</v>
      </c>
      <c r="F408" s="3" t="s">
        <v>26</v>
      </c>
      <c r="G408" s="3" t="s">
        <v>48</v>
      </c>
      <c r="H408" s="3" t="s">
        <v>133</v>
      </c>
      <c r="I408" s="3" t="s">
        <v>35</v>
      </c>
      <c r="J408" s="3">
        <v>500.0</v>
      </c>
      <c r="L408" s="3">
        <v>1.0</v>
      </c>
      <c r="N408" s="3">
        <v>1890.0</v>
      </c>
      <c r="P408" s="4">
        <f t="shared" si="34"/>
        <v>1890</v>
      </c>
    </row>
    <row r="409">
      <c r="A409" s="3">
        <v>2025.0</v>
      </c>
      <c r="B409" s="3" t="s">
        <v>173</v>
      </c>
      <c r="C409" s="1" t="s">
        <v>14</v>
      </c>
      <c r="F409" s="3" t="s">
        <v>26</v>
      </c>
      <c r="G409" s="3" t="s">
        <v>27</v>
      </c>
      <c r="H409" s="3" t="s">
        <v>28</v>
      </c>
      <c r="I409" s="3" t="s">
        <v>26</v>
      </c>
      <c r="J409" s="3">
        <v>900.0</v>
      </c>
      <c r="K409" s="3"/>
      <c r="L409" s="3">
        <v>1.0</v>
      </c>
      <c r="M409" s="3"/>
      <c r="N409" s="3">
        <v>7200.0</v>
      </c>
      <c r="P409" s="4">
        <f t="shared" si="34"/>
        <v>7200</v>
      </c>
    </row>
    <row r="410">
      <c r="A410" s="3">
        <v>2025.0</v>
      </c>
      <c r="B410" s="3" t="s">
        <v>173</v>
      </c>
      <c r="C410" s="1" t="s">
        <v>14</v>
      </c>
      <c r="F410" s="3" t="s">
        <v>26</v>
      </c>
      <c r="G410" s="3" t="s">
        <v>89</v>
      </c>
      <c r="H410" s="3" t="s">
        <v>182</v>
      </c>
      <c r="I410" s="3" t="s">
        <v>183</v>
      </c>
      <c r="J410" s="3">
        <v>500.0</v>
      </c>
      <c r="L410" s="3">
        <v>1.0</v>
      </c>
      <c r="N410" s="3">
        <v>1890.0</v>
      </c>
      <c r="P410" s="4">
        <f t="shared" si="34"/>
        <v>1890</v>
      </c>
    </row>
    <row r="411">
      <c r="A411" s="3">
        <v>2025.0</v>
      </c>
      <c r="B411" s="3" t="s">
        <v>173</v>
      </c>
      <c r="C411" s="1" t="s">
        <v>14</v>
      </c>
      <c r="F411" s="3" t="s">
        <v>26</v>
      </c>
      <c r="G411" s="3" t="s">
        <v>33</v>
      </c>
      <c r="H411" s="3" t="s">
        <v>34</v>
      </c>
      <c r="I411" s="3" t="s">
        <v>35</v>
      </c>
      <c r="J411" s="3">
        <v>160.0</v>
      </c>
      <c r="K411" s="3"/>
      <c r="L411" s="3">
        <v>1.0</v>
      </c>
      <c r="M411" s="3"/>
      <c r="N411" s="3">
        <v>4990.0</v>
      </c>
      <c r="P411" s="4">
        <f t="shared" si="34"/>
        <v>4990</v>
      </c>
    </row>
    <row r="412">
      <c r="A412" s="5" t="s">
        <v>12</v>
      </c>
      <c r="F412" s="6"/>
      <c r="G412" s="6"/>
      <c r="H412" s="6"/>
      <c r="I412" s="6"/>
      <c r="J412" s="6"/>
      <c r="K412" s="6"/>
      <c r="L412" s="6"/>
      <c r="M412" s="6"/>
      <c r="N412" s="6"/>
      <c r="O412" s="10" t="str">
        <f>CHANGE(P359,P412)</f>
        <v>#NAME?</v>
      </c>
      <c r="P412" s="7">
        <f>SUM(P384:P411)</f>
        <v>307641.94</v>
      </c>
    </row>
    <row r="413">
      <c r="A413" s="3">
        <v>2025.0</v>
      </c>
      <c r="B413" s="3" t="s">
        <v>141</v>
      </c>
      <c r="C413" s="1" t="s">
        <v>109</v>
      </c>
      <c r="F413" s="3" t="s">
        <v>15</v>
      </c>
      <c r="H413" s="15" t="s">
        <v>184</v>
      </c>
      <c r="L413" s="3">
        <v>2.0</v>
      </c>
      <c r="M413" s="3"/>
      <c r="N413" s="19">
        <v>1200.0</v>
      </c>
      <c r="P413" s="4">
        <f t="shared" ref="P413:P424" si="35">N413*L413</f>
        <v>2400</v>
      </c>
      <c r="R413" s="15"/>
      <c r="S413" s="15"/>
      <c r="T413" s="15"/>
      <c r="U413" s="15"/>
      <c r="V413" s="15"/>
      <c r="W413" s="15"/>
      <c r="X413" s="19"/>
      <c r="AA413" s="15"/>
      <c r="AB413" s="15"/>
      <c r="AC413" s="19"/>
      <c r="AD413" s="19"/>
    </row>
    <row r="414">
      <c r="A414" s="3">
        <v>2025.0</v>
      </c>
      <c r="B414" s="3" t="s">
        <v>141</v>
      </c>
      <c r="C414" s="1" t="s">
        <v>109</v>
      </c>
      <c r="F414" s="3" t="s">
        <v>15</v>
      </c>
      <c r="H414" s="15" t="s">
        <v>185</v>
      </c>
      <c r="L414" s="3">
        <v>1.0</v>
      </c>
      <c r="M414" s="3"/>
      <c r="N414" s="19">
        <v>3790.0</v>
      </c>
      <c r="P414" s="4">
        <f t="shared" si="35"/>
        <v>3790</v>
      </c>
      <c r="R414" s="15"/>
      <c r="S414" s="15"/>
      <c r="T414" s="15"/>
      <c r="U414" s="15"/>
      <c r="V414" s="15"/>
      <c r="W414" s="15"/>
      <c r="X414" s="19"/>
      <c r="Y414" s="19"/>
      <c r="AA414" s="15"/>
      <c r="AB414" s="15"/>
      <c r="AC414" s="19"/>
      <c r="AD414" s="19"/>
    </row>
    <row r="415">
      <c r="A415" s="3">
        <v>2025.0</v>
      </c>
      <c r="B415" s="3" t="s">
        <v>141</v>
      </c>
      <c r="C415" s="1" t="s">
        <v>109</v>
      </c>
      <c r="F415" s="3" t="s">
        <v>15</v>
      </c>
      <c r="H415" s="15" t="s">
        <v>186</v>
      </c>
      <c r="L415" s="3">
        <v>3.0</v>
      </c>
      <c r="N415" s="19">
        <v>1950.0</v>
      </c>
      <c r="O415" s="22"/>
      <c r="P415" s="4">
        <f t="shared" si="35"/>
        <v>5850</v>
      </c>
      <c r="R415" s="15"/>
      <c r="S415" s="15"/>
      <c r="T415" s="15"/>
      <c r="U415" s="15"/>
      <c r="V415" s="15"/>
      <c r="W415" s="15"/>
      <c r="X415" s="19"/>
      <c r="Y415" s="19"/>
      <c r="AA415" s="15"/>
      <c r="AB415" s="15"/>
      <c r="AC415" s="19"/>
      <c r="AD415" s="19"/>
    </row>
    <row r="416">
      <c r="A416" s="3">
        <v>2025.0</v>
      </c>
      <c r="B416" s="3" t="s">
        <v>141</v>
      </c>
      <c r="C416" s="1" t="s">
        <v>109</v>
      </c>
      <c r="F416" s="3" t="s">
        <v>15</v>
      </c>
      <c r="H416" s="15" t="s">
        <v>187</v>
      </c>
      <c r="L416" s="3">
        <v>1.0</v>
      </c>
      <c r="M416" s="3"/>
      <c r="N416" s="19">
        <v>11990.0</v>
      </c>
      <c r="P416" s="4">
        <f t="shared" si="35"/>
        <v>11990</v>
      </c>
      <c r="R416" s="15"/>
      <c r="S416" s="15"/>
      <c r="T416" s="15"/>
      <c r="U416" s="15"/>
      <c r="V416" s="15"/>
      <c r="W416" s="15"/>
      <c r="X416" s="19"/>
      <c r="Y416" s="19"/>
      <c r="AA416" s="15"/>
      <c r="AB416" s="15"/>
      <c r="AC416" s="19"/>
      <c r="AD416" s="19"/>
    </row>
    <row r="417">
      <c r="A417" s="3">
        <v>2025.0</v>
      </c>
      <c r="B417" s="3" t="s">
        <v>141</v>
      </c>
      <c r="C417" s="1" t="s">
        <v>109</v>
      </c>
      <c r="F417" s="3" t="s">
        <v>15</v>
      </c>
      <c r="H417" s="15" t="s">
        <v>188</v>
      </c>
      <c r="L417" s="3">
        <v>2.0</v>
      </c>
      <c r="M417" s="3"/>
      <c r="N417" s="19">
        <v>2650.0</v>
      </c>
      <c r="P417" s="4">
        <f t="shared" si="35"/>
        <v>5300</v>
      </c>
      <c r="R417" s="15"/>
      <c r="S417" s="15"/>
      <c r="T417" s="15"/>
      <c r="U417" s="15"/>
      <c r="V417" s="15"/>
      <c r="W417" s="15"/>
      <c r="X417" s="19"/>
      <c r="Y417" s="19"/>
      <c r="AA417" s="15"/>
      <c r="AB417" s="15"/>
      <c r="AC417" s="19"/>
      <c r="AD417" s="19"/>
    </row>
    <row r="418">
      <c r="A418" s="3">
        <v>2025.0</v>
      </c>
      <c r="B418" s="3" t="s">
        <v>141</v>
      </c>
      <c r="C418" s="1" t="s">
        <v>109</v>
      </c>
      <c r="F418" s="3" t="s">
        <v>15</v>
      </c>
      <c r="H418" s="15" t="s">
        <v>189</v>
      </c>
      <c r="L418" s="3">
        <v>1.0</v>
      </c>
      <c r="M418" s="3"/>
      <c r="N418" s="19">
        <v>8700.0</v>
      </c>
      <c r="P418" s="4">
        <f t="shared" si="35"/>
        <v>8700</v>
      </c>
      <c r="R418" s="15"/>
      <c r="S418" s="15"/>
      <c r="T418" s="15"/>
      <c r="U418" s="15"/>
      <c r="V418" s="15"/>
      <c r="W418" s="15"/>
      <c r="X418" s="19"/>
      <c r="Y418" s="19"/>
      <c r="AA418" s="15"/>
      <c r="AB418" s="15"/>
      <c r="AC418" s="19"/>
      <c r="AD418" s="19"/>
    </row>
    <row r="419">
      <c r="A419" s="3">
        <v>2025.0</v>
      </c>
      <c r="B419" s="3" t="s">
        <v>141</v>
      </c>
      <c r="C419" s="1" t="s">
        <v>109</v>
      </c>
      <c r="F419" s="3" t="s">
        <v>15</v>
      </c>
      <c r="H419" s="15" t="s">
        <v>190</v>
      </c>
      <c r="L419" s="3">
        <v>2.0</v>
      </c>
      <c r="M419" s="3"/>
      <c r="N419" s="19">
        <v>4990.0</v>
      </c>
      <c r="P419" s="4">
        <f t="shared" si="35"/>
        <v>9980</v>
      </c>
      <c r="R419" s="15"/>
      <c r="S419" s="15"/>
      <c r="T419" s="15"/>
      <c r="U419" s="15"/>
      <c r="V419" s="15"/>
      <c r="W419" s="15"/>
      <c r="X419" s="19"/>
      <c r="Y419" s="19"/>
      <c r="AA419" s="15"/>
      <c r="AB419" s="15"/>
      <c r="AC419" s="19"/>
      <c r="AD419" s="19"/>
    </row>
    <row r="420">
      <c r="A420" s="3">
        <v>2025.0</v>
      </c>
      <c r="B420" s="3" t="s">
        <v>141</v>
      </c>
      <c r="C420" s="1" t="s">
        <v>109</v>
      </c>
      <c r="F420" s="3" t="s">
        <v>15</v>
      </c>
      <c r="H420" s="15" t="s">
        <v>191</v>
      </c>
      <c r="L420" s="3">
        <v>1.0</v>
      </c>
      <c r="M420" s="3"/>
      <c r="N420" s="19">
        <v>4950.0</v>
      </c>
      <c r="P420" s="4">
        <f t="shared" si="35"/>
        <v>4950</v>
      </c>
      <c r="R420" s="15"/>
      <c r="S420" s="15"/>
      <c r="T420" s="15"/>
      <c r="U420" s="15"/>
      <c r="V420" s="15"/>
      <c r="W420" s="15"/>
      <c r="X420" s="19"/>
      <c r="Y420" s="19"/>
      <c r="AA420" s="15"/>
      <c r="AB420" s="15"/>
      <c r="AC420" s="19"/>
      <c r="AD420" s="19"/>
    </row>
    <row r="421">
      <c r="A421" s="3">
        <v>2025.0</v>
      </c>
      <c r="B421" s="3" t="s">
        <v>141</v>
      </c>
      <c r="C421" s="1" t="s">
        <v>109</v>
      </c>
      <c r="F421" s="3" t="s">
        <v>15</v>
      </c>
      <c r="H421" s="15" t="s">
        <v>192</v>
      </c>
      <c r="L421" s="3">
        <v>1.0</v>
      </c>
      <c r="M421" s="3"/>
      <c r="N421" s="19">
        <v>2600.0</v>
      </c>
      <c r="P421" s="4">
        <f t="shared" si="35"/>
        <v>2600</v>
      </c>
      <c r="R421" s="15"/>
      <c r="S421" s="15"/>
      <c r="T421" s="15"/>
      <c r="U421" s="15"/>
      <c r="V421" s="15"/>
      <c r="W421" s="15"/>
      <c r="X421" s="19"/>
      <c r="Y421" s="19"/>
      <c r="AA421" s="15"/>
      <c r="AB421" s="15"/>
      <c r="AC421" s="19"/>
      <c r="AD421" s="19"/>
    </row>
    <row r="422">
      <c r="A422" s="3">
        <v>2025.0</v>
      </c>
      <c r="B422" s="3" t="s">
        <v>141</v>
      </c>
      <c r="C422" s="1" t="s">
        <v>109</v>
      </c>
      <c r="F422" s="3" t="s">
        <v>15</v>
      </c>
      <c r="H422" s="15" t="s">
        <v>193</v>
      </c>
      <c r="L422" s="3">
        <v>1.0</v>
      </c>
      <c r="M422" s="3"/>
      <c r="N422" s="19">
        <v>9900.0</v>
      </c>
      <c r="P422" s="4">
        <f t="shared" si="35"/>
        <v>9900</v>
      </c>
      <c r="R422" s="15"/>
      <c r="S422" s="15"/>
      <c r="T422" s="15"/>
      <c r="U422" s="15"/>
      <c r="V422" s="15"/>
      <c r="W422" s="15"/>
      <c r="X422" s="19"/>
      <c r="Y422" s="19"/>
      <c r="AA422" s="15"/>
      <c r="AB422" s="15"/>
      <c r="AC422" s="19"/>
      <c r="AD422" s="19"/>
    </row>
    <row r="423">
      <c r="A423" s="3">
        <v>2025.0</v>
      </c>
      <c r="B423" s="3" t="s">
        <v>141</v>
      </c>
      <c r="C423" s="1" t="s">
        <v>109</v>
      </c>
      <c r="F423" s="3" t="s">
        <v>15</v>
      </c>
      <c r="H423" s="15" t="s">
        <v>194</v>
      </c>
      <c r="L423" s="3">
        <v>1.0</v>
      </c>
      <c r="M423" s="3"/>
      <c r="N423" s="19">
        <v>7990.0</v>
      </c>
      <c r="P423" s="4">
        <f t="shared" si="35"/>
        <v>7990</v>
      </c>
      <c r="R423" s="15"/>
      <c r="S423" s="15"/>
      <c r="T423" s="15"/>
      <c r="U423" s="15"/>
      <c r="V423" s="15"/>
      <c r="W423" s="15"/>
      <c r="X423" s="19"/>
      <c r="Y423" s="19"/>
      <c r="AA423" s="15"/>
      <c r="AB423" s="15"/>
      <c r="AC423" s="19"/>
      <c r="AD423" s="19"/>
    </row>
    <row r="424">
      <c r="A424" s="3">
        <v>2025.0</v>
      </c>
      <c r="B424" s="3" t="s">
        <v>141</v>
      </c>
      <c r="C424" s="1" t="s">
        <v>109</v>
      </c>
      <c r="F424" s="3" t="s">
        <v>15</v>
      </c>
      <c r="H424" s="15" t="s">
        <v>195</v>
      </c>
      <c r="L424" s="3">
        <v>1.0</v>
      </c>
      <c r="N424" s="19">
        <v>2200.0</v>
      </c>
      <c r="P424" s="4">
        <f t="shared" si="35"/>
        <v>2200</v>
      </c>
      <c r="Y424" s="19"/>
      <c r="AA424" s="15"/>
      <c r="AB424" s="15"/>
      <c r="AC424" s="19"/>
      <c r="AD424" s="19"/>
    </row>
    <row r="425">
      <c r="A425" s="5" t="s">
        <v>12</v>
      </c>
      <c r="F425" s="6"/>
      <c r="G425" s="6"/>
      <c r="H425" s="6"/>
      <c r="I425" s="6"/>
      <c r="J425" s="6"/>
      <c r="K425" s="6"/>
      <c r="L425" s="6"/>
      <c r="M425" s="6"/>
      <c r="N425" s="6"/>
      <c r="O425" s="10" t="str">
        <f>CHANGE(P372,P425)</f>
        <v>#NAME?</v>
      </c>
      <c r="P425" s="7">
        <f>SUM(P413:P424)</f>
        <v>75650</v>
      </c>
    </row>
    <row r="426">
      <c r="A426" s="3">
        <v>2025.0</v>
      </c>
      <c r="B426" s="3" t="s">
        <v>173</v>
      </c>
      <c r="C426" s="1" t="s">
        <v>14</v>
      </c>
      <c r="F426" s="3" t="s">
        <v>15</v>
      </c>
      <c r="H426" s="3" t="s">
        <v>187</v>
      </c>
      <c r="L426" s="3">
        <v>1.0</v>
      </c>
      <c r="N426" s="3">
        <v>11990.0</v>
      </c>
      <c r="P426" s="4">
        <f t="shared" ref="P426:P439" si="36">N426*L426</f>
        <v>11990</v>
      </c>
    </row>
    <row r="427">
      <c r="A427" s="3">
        <v>2025.0</v>
      </c>
      <c r="B427" s="3" t="s">
        <v>173</v>
      </c>
      <c r="C427" s="1" t="s">
        <v>14</v>
      </c>
      <c r="F427" s="3" t="s">
        <v>15</v>
      </c>
      <c r="H427" s="3" t="s">
        <v>189</v>
      </c>
      <c r="L427" s="3">
        <v>1.0</v>
      </c>
      <c r="N427" s="3">
        <v>8700.0</v>
      </c>
      <c r="P427" s="4">
        <f t="shared" si="36"/>
        <v>8700</v>
      </c>
    </row>
    <row r="428">
      <c r="A428" s="3">
        <v>2025.0</v>
      </c>
      <c r="B428" s="3" t="s">
        <v>173</v>
      </c>
      <c r="C428" s="1" t="s">
        <v>14</v>
      </c>
      <c r="F428" s="3" t="s">
        <v>15</v>
      </c>
      <c r="H428" s="3" t="s">
        <v>196</v>
      </c>
      <c r="L428" s="3">
        <v>1.0</v>
      </c>
      <c r="N428" s="3">
        <v>4490.0</v>
      </c>
      <c r="P428" s="4">
        <f t="shared" si="36"/>
        <v>4490</v>
      </c>
    </row>
    <row r="429">
      <c r="A429" s="3">
        <v>2025.0</v>
      </c>
      <c r="B429" s="3" t="s">
        <v>173</v>
      </c>
      <c r="C429" s="1" t="s">
        <v>14</v>
      </c>
      <c r="F429" s="3" t="s">
        <v>15</v>
      </c>
      <c r="H429" s="3" t="s">
        <v>197</v>
      </c>
      <c r="L429" s="3">
        <v>3.0</v>
      </c>
      <c r="N429" s="3">
        <v>1990.0</v>
      </c>
      <c r="P429" s="4">
        <f t="shared" si="36"/>
        <v>5970</v>
      </c>
    </row>
    <row r="430">
      <c r="A430" s="3">
        <v>2025.0</v>
      </c>
      <c r="B430" s="3" t="s">
        <v>173</v>
      </c>
      <c r="C430" s="1" t="s">
        <v>14</v>
      </c>
      <c r="F430" s="3" t="s">
        <v>15</v>
      </c>
      <c r="H430" s="3" t="s">
        <v>186</v>
      </c>
      <c r="L430" s="3">
        <v>3.0</v>
      </c>
      <c r="N430" s="3">
        <v>1950.0</v>
      </c>
      <c r="P430" s="4">
        <f t="shared" si="36"/>
        <v>5850</v>
      </c>
    </row>
    <row r="431">
      <c r="A431" s="3">
        <v>2025.0</v>
      </c>
      <c r="B431" s="3" t="s">
        <v>173</v>
      </c>
      <c r="C431" s="1" t="s">
        <v>14</v>
      </c>
      <c r="F431" s="3" t="s">
        <v>15</v>
      </c>
      <c r="H431" s="3" t="s">
        <v>198</v>
      </c>
      <c r="L431" s="3">
        <v>1.0</v>
      </c>
      <c r="N431" s="3">
        <v>1150.0</v>
      </c>
      <c r="P431" s="4">
        <f t="shared" si="36"/>
        <v>1150</v>
      </c>
    </row>
    <row r="432">
      <c r="A432" s="3">
        <v>2025.0</v>
      </c>
      <c r="B432" s="3" t="s">
        <v>173</v>
      </c>
      <c r="C432" s="1" t="s">
        <v>14</v>
      </c>
      <c r="F432" s="3" t="s">
        <v>15</v>
      </c>
      <c r="H432" s="3" t="s">
        <v>199</v>
      </c>
      <c r="L432" s="3">
        <v>1.0</v>
      </c>
      <c r="N432" s="3">
        <v>1150.0</v>
      </c>
      <c r="P432" s="4">
        <f t="shared" si="36"/>
        <v>1150</v>
      </c>
    </row>
    <row r="433">
      <c r="A433" s="3">
        <v>2025.0</v>
      </c>
      <c r="B433" s="3" t="s">
        <v>173</v>
      </c>
      <c r="C433" s="1" t="s">
        <v>14</v>
      </c>
      <c r="F433" s="3" t="s">
        <v>15</v>
      </c>
      <c r="H433" s="3" t="s">
        <v>200</v>
      </c>
      <c r="L433" s="3">
        <v>1.0</v>
      </c>
      <c r="N433" s="3">
        <v>5350.0</v>
      </c>
      <c r="P433" s="4">
        <f t="shared" si="36"/>
        <v>5350</v>
      </c>
    </row>
    <row r="434">
      <c r="A434" s="3">
        <v>2025.0</v>
      </c>
      <c r="B434" s="3" t="s">
        <v>173</v>
      </c>
      <c r="C434" s="1" t="s">
        <v>14</v>
      </c>
      <c r="F434" s="3" t="s">
        <v>15</v>
      </c>
      <c r="H434" s="3" t="s">
        <v>201</v>
      </c>
      <c r="L434" s="3">
        <v>1.0</v>
      </c>
      <c r="N434" s="3">
        <v>1750.0</v>
      </c>
      <c r="P434" s="4">
        <f t="shared" si="36"/>
        <v>1750</v>
      </c>
    </row>
    <row r="435">
      <c r="A435" s="3">
        <v>2025.0</v>
      </c>
      <c r="B435" s="3" t="s">
        <v>173</v>
      </c>
      <c r="C435" s="1" t="s">
        <v>14</v>
      </c>
      <c r="F435" s="3" t="s">
        <v>15</v>
      </c>
      <c r="H435" s="3" t="s">
        <v>184</v>
      </c>
      <c r="L435" s="3">
        <v>2.0</v>
      </c>
      <c r="N435" s="3">
        <v>1150.0</v>
      </c>
      <c r="P435" s="4">
        <f t="shared" si="36"/>
        <v>2300</v>
      </c>
    </row>
    <row r="436">
      <c r="A436" s="3">
        <v>2025.0</v>
      </c>
      <c r="B436" s="3" t="s">
        <v>173</v>
      </c>
      <c r="C436" s="1" t="s">
        <v>14</v>
      </c>
      <c r="F436" s="3" t="s">
        <v>15</v>
      </c>
      <c r="H436" s="3" t="s">
        <v>191</v>
      </c>
      <c r="L436" s="3">
        <v>1.0</v>
      </c>
      <c r="N436" s="3">
        <v>4950.0</v>
      </c>
      <c r="P436" s="4">
        <f t="shared" si="36"/>
        <v>4950</v>
      </c>
    </row>
    <row r="437">
      <c r="A437" s="3">
        <v>2025.0</v>
      </c>
      <c r="B437" s="3" t="s">
        <v>173</v>
      </c>
      <c r="C437" s="1" t="s">
        <v>14</v>
      </c>
      <c r="F437" s="3" t="s">
        <v>15</v>
      </c>
      <c r="H437" s="3" t="s">
        <v>190</v>
      </c>
      <c r="L437" s="3">
        <v>2.0</v>
      </c>
      <c r="N437" s="3">
        <v>4990.0</v>
      </c>
      <c r="P437" s="4">
        <f t="shared" si="36"/>
        <v>9980</v>
      </c>
    </row>
    <row r="438">
      <c r="A438" s="3">
        <v>2025.0</v>
      </c>
      <c r="B438" s="3" t="s">
        <v>173</v>
      </c>
      <c r="C438" s="1" t="s">
        <v>14</v>
      </c>
      <c r="F438" s="3" t="s">
        <v>15</v>
      </c>
      <c r="H438" s="3" t="s">
        <v>202</v>
      </c>
      <c r="L438" s="3">
        <v>1.0</v>
      </c>
      <c r="N438" s="3">
        <v>2470.0</v>
      </c>
      <c r="P438" s="4">
        <f t="shared" si="36"/>
        <v>2470</v>
      </c>
    </row>
    <row r="439">
      <c r="A439" s="3">
        <v>2025.0</v>
      </c>
      <c r="B439" s="3" t="s">
        <v>173</v>
      </c>
      <c r="C439" s="1" t="s">
        <v>14</v>
      </c>
      <c r="F439" s="3" t="s">
        <v>15</v>
      </c>
      <c r="H439" s="3" t="s">
        <v>192</v>
      </c>
      <c r="L439" s="3">
        <v>1.0</v>
      </c>
      <c r="N439" s="3">
        <v>2600.0</v>
      </c>
      <c r="P439" s="4">
        <f t="shared" si="36"/>
        <v>2600</v>
      </c>
    </row>
    <row r="440">
      <c r="A440" s="5" t="s">
        <v>12</v>
      </c>
      <c r="F440" s="6"/>
      <c r="G440" s="6"/>
      <c r="H440" s="6"/>
      <c r="I440" s="6"/>
      <c r="J440" s="6"/>
      <c r="K440" s="6"/>
      <c r="L440" s="6"/>
      <c r="M440" s="6"/>
      <c r="N440" s="6"/>
      <c r="O440" s="10" t="str">
        <f>CHANGE(P387,P440)</f>
        <v>#NAME?</v>
      </c>
      <c r="P440" s="7">
        <f>SUM(P426:P439)</f>
        <v>68700</v>
      </c>
    </row>
    <row r="441">
      <c r="A441" s="3">
        <v>2025.0</v>
      </c>
      <c r="B441" s="3" t="s">
        <v>173</v>
      </c>
      <c r="C441" s="1" t="s">
        <v>109</v>
      </c>
      <c r="F441" s="3" t="s">
        <v>15</v>
      </c>
      <c r="H441" s="3" t="s">
        <v>203</v>
      </c>
      <c r="L441" s="3">
        <v>1.0</v>
      </c>
      <c r="N441" s="3">
        <v>2450.0</v>
      </c>
      <c r="P441" s="4">
        <f t="shared" ref="P441:P455" si="37">N441*L441</f>
        <v>2450</v>
      </c>
    </row>
    <row r="442">
      <c r="A442" s="3">
        <v>2025.0</v>
      </c>
      <c r="B442" s="3" t="s">
        <v>173</v>
      </c>
      <c r="C442" s="1" t="s">
        <v>109</v>
      </c>
      <c r="F442" s="3" t="s">
        <v>15</v>
      </c>
      <c r="H442" s="3" t="s">
        <v>204</v>
      </c>
      <c r="L442" s="3">
        <v>1.0</v>
      </c>
      <c r="N442" s="3">
        <v>4950.0</v>
      </c>
      <c r="P442" s="4">
        <f t="shared" si="37"/>
        <v>4950</v>
      </c>
    </row>
    <row r="443">
      <c r="A443" s="3">
        <v>2025.0</v>
      </c>
      <c r="B443" s="3" t="s">
        <v>173</v>
      </c>
      <c r="C443" s="1" t="s">
        <v>109</v>
      </c>
      <c r="F443" s="3" t="s">
        <v>15</v>
      </c>
      <c r="H443" s="3" t="s">
        <v>205</v>
      </c>
      <c r="L443" s="3">
        <v>1.0</v>
      </c>
      <c r="N443" s="3">
        <v>2880.0</v>
      </c>
      <c r="P443" s="4">
        <f t="shared" si="37"/>
        <v>2880</v>
      </c>
    </row>
    <row r="444">
      <c r="A444" s="3">
        <v>2025.0</v>
      </c>
      <c r="B444" s="3" t="s">
        <v>173</v>
      </c>
      <c r="C444" s="1" t="s">
        <v>109</v>
      </c>
      <c r="F444" s="3" t="s">
        <v>15</v>
      </c>
      <c r="H444" s="3" t="s">
        <v>206</v>
      </c>
      <c r="L444" s="3">
        <v>1.0</v>
      </c>
      <c r="N444" s="3">
        <v>3490.0</v>
      </c>
      <c r="P444" s="4">
        <f t="shared" si="37"/>
        <v>3490</v>
      </c>
    </row>
    <row r="445">
      <c r="A445" s="3">
        <v>2025.0</v>
      </c>
      <c r="B445" s="3" t="s">
        <v>173</v>
      </c>
      <c r="C445" s="1" t="s">
        <v>109</v>
      </c>
      <c r="F445" s="3" t="s">
        <v>15</v>
      </c>
      <c r="H445" s="3" t="s">
        <v>188</v>
      </c>
      <c r="L445" s="3">
        <v>2.0</v>
      </c>
      <c r="N445" s="3">
        <v>2700.0</v>
      </c>
      <c r="P445" s="4">
        <f t="shared" si="37"/>
        <v>5400</v>
      </c>
    </row>
    <row r="446">
      <c r="A446" s="3">
        <v>2025.0</v>
      </c>
      <c r="B446" s="3" t="s">
        <v>173</v>
      </c>
      <c r="C446" s="1" t="s">
        <v>109</v>
      </c>
      <c r="F446" s="3" t="s">
        <v>15</v>
      </c>
      <c r="H446" s="3" t="s">
        <v>185</v>
      </c>
      <c r="L446" s="3">
        <v>1.0</v>
      </c>
      <c r="N446" s="3">
        <v>3790.0</v>
      </c>
      <c r="P446" s="4">
        <f t="shared" si="37"/>
        <v>3790</v>
      </c>
    </row>
    <row r="447">
      <c r="A447" s="3">
        <v>2025.0</v>
      </c>
      <c r="B447" s="3" t="s">
        <v>173</v>
      </c>
      <c r="C447" s="1" t="s">
        <v>109</v>
      </c>
      <c r="F447" s="3" t="s">
        <v>15</v>
      </c>
      <c r="H447" s="3" t="s">
        <v>196</v>
      </c>
      <c r="L447" s="3">
        <v>1.0</v>
      </c>
      <c r="N447" s="3">
        <v>4490.0</v>
      </c>
      <c r="P447" s="4">
        <f t="shared" si="37"/>
        <v>4490</v>
      </c>
    </row>
    <row r="448">
      <c r="A448" s="3">
        <v>2025.0</v>
      </c>
      <c r="B448" s="3" t="s">
        <v>173</v>
      </c>
      <c r="C448" s="1" t="s">
        <v>109</v>
      </c>
      <c r="F448" s="3" t="s">
        <v>15</v>
      </c>
      <c r="H448" s="3" t="s">
        <v>187</v>
      </c>
      <c r="L448" s="3">
        <v>1.0</v>
      </c>
      <c r="N448" s="3">
        <v>11950.0</v>
      </c>
      <c r="P448" s="4">
        <f t="shared" si="37"/>
        <v>11950</v>
      </c>
    </row>
    <row r="449">
      <c r="A449" s="3">
        <v>2025.0</v>
      </c>
      <c r="B449" s="3" t="s">
        <v>173</v>
      </c>
      <c r="C449" s="1" t="s">
        <v>109</v>
      </c>
      <c r="F449" s="3" t="s">
        <v>15</v>
      </c>
      <c r="H449" s="3" t="s">
        <v>198</v>
      </c>
      <c r="L449" s="3">
        <v>1.0</v>
      </c>
      <c r="N449" s="3">
        <v>1150.0</v>
      </c>
      <c r="P449" s="4">
        <f t="shared" si="37"/>
        <v>1150</v>
      </c>
    </row>
    <row r="450">
      <c r="A450" s="3">
        <v>2025.0</v>
      </c>
      <c r="B450" s="3" t="s">
        <v>173</v>
      </c>
      <c r="C450" s="1" t="s">
        <v>109</v>
      </c>
      <c r="F450" s="3" t="s">
        <v>15</v>
      </c>
      <c r="H450" s="3" t="s">
        <v>184</v>
      </c>
      <c r="L450" s="3">
        <v>1.0</v>
      </c>
      <c r="N450" s="3">
        <v>1150.0</v>
      </c>
      <c r="P450" s="4">
        <f t="shared" si="37"/>
        <v>1150</v>
      </c>
    </row>
    <row r="451">
      <c r="A451" s="3">
        <v>2025.0</v>
      </c>
      <c r="B451" s="3" t="s">
        <v>173</v>
      </c>
      <c r="C451" s="1" t="s">
        <v>109</v>
      </c>
      <c r="F451" s="3" t="s">
        <v>15</v>
      </c>
      <c r="H451" s="3" t="s">
        <v>190</v>
      </c>
      <c r="L451" s="3">
        <v>2.0</v>
      </c>
      <c r="N451" s="3">
        <v>4990.0</v>
      </c>
      <c r="P451" s="4">
        <f t="shared" si="37"/>
        <v>9980</v>
      </c>
    </row>
    <row r="452">
      <c r="A452" s="3">
        <v>2025.0</v>
      </c>
      <c r="B452" s="3" t="s">
        <v>173</v>
      </c>
      <c r="C452" s="1" t="s">
        <v>109</v>
      </c>
      <c r="F452" s="3" t="s">
        <v>15</v>
      </c>
      <c r="H452" s="3" t="s">
        <v>197</v>
      </c>
      <c r="L452" s="3">
        <v>3.0</v>
      </c>
      <c r="N452" s="3">
        <v>1990.0</v>
      </c>
      <c r="P452" s="4">
        <f t="shared" si="37"/>
        <v>5970</v>
      </c>
    </row>
    <row r="453">
      <c r="A453" s="3">
        <v>2025.0</v>
      </c>
      <c r="B453" s="3" t="s">
        <v>173</v>
      </c>
      <c r="C453" s="1" t="s">
        <v>109</v>
      </c>
      <c r="F453" s="3" t="s">
        <v>15</v>
      </c>
      <c r="H453" s="3" t="s">
        <v>201</v>
      </c>
      <c r="L453" s="3">
        <v>1.0</v>
      </c>
      <c r="N453" s="3">
        <v>1750.0</v>
      </c>
      <c r="P453" s="4">
        <f t="shared" si="37"/>
        <v>1750</v>
      </c>
    </row>
    <row r="454">
      <c r="A454" s="3">
        <v>2025.0</v>
      </c>
      <c r="B454" s="3" t="s">
        <v>173</v>
      </c>
      <c r="C454" s="1" t="s">
        <v>109</v>
      </c>
      <c r="F454" s="3" t="s">
        <v>15</v>
      </c>
      <c r="H454" s="3" t="s">
        <v>191</v>
      </c>
      <c r="L454" s="3">
        <v>1.0</v>
      </c>
      <c r="N454" s="3">
        <v>4950.0</v>
      </c>
      <c r="P454" s="4">
        <f t="shared" si="37"/>
        <v>4950</v>
      </c>
    </row>
    <row r="455">
      <c r="A455" s="3">
        <v>2025.0</v>
      </c>
      <c r="B455" s="3" t="s">
        <v>173</v>
      </c>
      <c r="C455" s="1" t="s">
        <v>109</v>
      </c>
      <c r="F455" s="3" t="s">
        <v>15</v>
      </c>
      <c r="H455" s="3" t="s">
        <v>189</v>
      </c>
      <c r="L455" s="3">
        <v>1.0</v>
      </c>
      <c r="N455" s="3">
        <v>8700.0</v>
      </c>
      <c r="P455" s="4">
        <f t="shared" si="37"/>
        <v>8700</v>
      </c>
    </row>
    <row r="456">
      <c r="A456" s="5" t="s">
        <v>12</v>
      </c>
      <c r="F456" s="6"/>
      <c r="G456" s="6"/>
      <c r="H456" s="6"/>
      <c r="I456" s="6"/>
      <c r="J456" s="6"/>
      <c r="K456" s="6"/>
      <c r="L456" s="6"/>
      <c r="M456" s="6"/>
      <c r="N456" s="6"/>
      <c r="O456" s="10" t="str">
        <f>CHANGE(P403,P456)</f>
        <v>#NAME?</v>
      </c>
      <c r="P456" s="7">
        <f>SUM(P441:P455)</f>
        <v>73050</v>
      </c>
    </row>
    <row r="457">
      <c r="A457" s="3">
        <v>2025.0</v>
      </c>
      <c r="B457" s="3" t="s">
        <v>207</v>
      </c>
      <c r="C457" s="1" t="s">
        <v>109</v>
      </c>
      <c r="F457" s="3" t="s">
        <v>15</v>
      </c>
      <c r="H457" s="3" t="s">
        <v>208</v>
      </c>
      <c r="L457" s="3">
        <v>1.0</v>
      </c>
      <c r="N457" s="3">
        <v>4550.0</v>
      </c>
      <c r="P457" s="4">
        <f t="shared" ref="P457:P469" si="38">N457*L457</f>
        <v>4550</v>
      </c>
    </row>
    <row r="458">
      <c r="A458" s="3">
        <v>2025.0</v>
      </c>
      <c r="B458" s="3" t="s">
        <v>207</v>
      </c>
      <c r="C458" s="1" t="s">
        <v>109</v>
      </c>
      <c r="F458" s="3" t="s">
        <v>15</v>
      </c>
      <c r="H458" s="3" t="s">
        <v>205</v>
      </c>
      <c r="L458" s="3">
        <v>1.0</v>
      </c>
      <c r="N458" s="3">
        <v>2880.0</v>
      </c>
      <c r="P458" s="4">
        <f t="shared" si="38"/>
        <v>2880</v>
      </c>
    </row>
    <row r="459">
      <c r="A459" s="3">
        <v>2025.0</v>
      </c>
      <c r="B459" s="3" t="s">
        <v>207</v>
      </c>
      <c r="C459" s="1" t="s">
        <v>109</v>
      </c>
      <c r="F459" s="3" t="s">
        <v>15</v>
      </c>
      <c r="H459" s="3" t="s">
        <v>209</v>
      </c>
      <c r="L459" s="3">
        <v>1.0</v>
      </c>
      <c r="N459" s="3">
        <v>2350.0</v>
      </c>
      <c r="P459" s="4">
        <f t="shared" si="38"/>
        <v>2350</v>
      </c>
    </row>
    <row r="460">
      <c r="A460" s="3">
        <v>2025.0</v>
      </c>
      <c r="B460" s="3" t="s">
        <v>207</v>
      </c>
      <c r="C460" s="1" t="s">
        <v>109</v>
      </c>
      <c r="F460" s="3" t="s">
        <v>15</v>
      </c>
      <c r="H460" s="3" t="s">
        <v>203</v>
      </c>
      <c r="L460" s="3">
        <v>1.0</v>
      </c>
      <c r="N460" s="3">
        <v>2450.0</v>
      </c>
      <c r="P460" s="4">
        <f t="shared" si="38"/>
        <v>2450</v>
      </c>
    </row>
    <row r="461">
      <c r="A461" s="3">
        <v>2025.0</v>
      </c>
      <c r="B461" s="3" t="s">
        <v>207</v>
      </c>
      <c r="C461" s="1" t="s">
        <v>109</v>
      </c>
      <c r="F461" s="3" t="s">
        <v>15</v>
      </c>
      <c r="H461" s="3" t="s">
        <v>200</v>
      </c>
      <c r="L461" s="3">
        <v>1.0</v>
      </c>
      <c r="N461" s="3">
        <v>5350.0</v>
      </c>
      <c r="P461" s="4">
        <f t="shared" si="38"/>
        <v>5350</v>
      </c>
    </row>
    <row r="462">
      <c r="A462" s="3">
        <v>2025.0</v>
      </c>
      <c r="B462" s="3" t="s">
        <v>207</v>
      </c>
      <c r="C462" s="1" t="s">
        <v>109</v>
      </c>
      <c r="F462" s="3" t="s">
        <v>15</v>
      </c>
      <c r="H462" s="3" t="s">
        <v>196</v>
      </c>
      <c r="L462" s="3">
        <v>1.0</v>
      </c>
      <c r="N462" s="3">
        <v>4490.0</v>
      </c>
      <c r="P462" s="4">
        <f t="shared" si="38"/>
        <v>4490</v>
      </c>
    </row>
    <row r="463">
      <c r="A463" s="3">
        <v>2025.0</v>
      </c>
      <c r="B463" s="3" t="s">
        <v>207</v>
      </c>
      <c r="C463" s="1" t="s">
        <v>109</v>
      </c>
      <c r="F463" s="3" t="s">
        <v>15</v>
      </c>
      <c r="H463" s="3" t="s">
        <v>185</v>
      </c>
      <c r="L463" s="3">
        <v>1.0</v>
      </c>
      <c r="N463" s="3">
        <v>3790.0</v>
      </c>
      <c r="P463" s="4">
        <f t="shared" si="38"/>
        <v>3790</v>
      </c>
    </row>
    <row r="464">
      <c r="A464" s="3">
        <v>2025.0</v>
      </c>
      <c r="B464" s="3" t="s">
        <v>207</v>
      </c>
      <c r="C464" s="1" t="s">
        <v>109</v>
      </c>
      <c r="F464" s="3" t="s">
        <v>15</v>
      </c>
      <c r="H464" s="3" t="s">
        <v>194</v>
      </c>
      <c r="L464" s="3">
        <v>1.0</v>
      </c>
      <c r="N464" s="3">
        <v>7990.0</v>
      </c>
      <c r="P464" s="4">
        <f t="shared" si="38"/>
        <v>7990</v>
      </c>
    </row>
    <row r="465">
      <c r="A465" s="3">
        <v>2025.0</v>
      </c>
      <c r="B465" s="3" t="s">
        <v>207</v>
      </c>
      <c r="C465" s="1" t="s">
        <v>109</v>
      </c>
      <c r="F465" s="3" t="s">
        <v>15</v>
      </c>
      <c r="H465" s="3" t="s">
        <v>186</v>
      </c>
      <c r="L465" s="3">
        <v>3.0</v>
      </c>
      <c r="N465" s="3">
        <v>1950.0</v>
      </c>
      <c r="P465" s="4">
        <f t="shared" si="38"/>
        <v>5850</v>
      </c>
    </row>
    <row r="466">
      <c r="A466" s="3">
        <v>2025.0</v>
      </c>
      <c r="B466" s="3" t="s">
        <v>207</v>
      </c>
      <c r="C466" s="1" t="s">
        <v>109</v>
      </c>
      <c r="F466" s="3" t="s">
        <v>15</v>
      </c>
      <c r="H466" s="3" t="s">
        <v>190</v>
      </c>
      <c r="L466" s="3">
        <v>2.0</v>
      </c>
      <c r="N466" s="3">
        <v>4990.0</v>
      </c>
      <c r="P466" s="4">
        <f t="shared" si="38"/>
        <v>9980</v>
      </c>
    </row>
    <row r="467">
      <c r="A467" s="3">
        <v>2025.0</v>
      </c>
      <c r="B467" s="3" t="s">
        <v>207</v>
      </c>
      <c r="C467" s="1" t="s">
        <v>109</v>
      </c>
      <c r="F467" s="3" t="s">
        <v>15</v>
      </c>
      <c r="H467" s="3" t="s">
        <v>191</v>
      </c>
      <c r="L467" s="3">
        <v>1.0</v>
      </c>
      <c r="N467" s="3">
        <v>4950.0</v>
      </c>
      <c r="P467" s="4">
        <f t="shared" si="38"/>
        <v>4950</v>
      </c>
    </row>
    <row r="468">
      <c r="A468" s="3">
        <v>2025.0</v>
      </c>
      <c r="B468" s="3" t="s">
        <v>207</v>
      </c>
      <c r="C468" s="1" t="s">
        <v>109</v>
      </c>
      <c r="F468" s="3" t="s">
        <v>15</v>
      </c>
      <c r="H468" s="3" t="s">
        <v>184</v>
      </c>
      <c r="L468" s="3">
        <v>1.0</v>
      </c>
      <c r="N468" s="3">
        <v>1150.0</v>
      </c>
      <c r="P468" s="4">
        <f t="shared" si="38"/>
        <v>1150</v>
      </c>
    </row>
    <row r="469">
      <c r="A469" s="3">
        <v>2025.0</v>
      </c>
      <c r="B469" s="3" t="s">
        <v>207</v>
      </c>
      <c r="C469" s="1" t="s">
        <v>109</v>
      </c>
      <c r="F469" s="3" t="s">
        <v>15</v>
      </c>
      <c r="H469" s="3" t="s">
        <v>195</v>
      </c>
      <c r="L469" s="3">
        <v>1.0</v>
      </c>
      <c r="N469" s="3">
        <v>2200.0</v>
      </c>
      <c r="P469" s="4">
        <f t="shared" si="38"/>
        <v>2200</v>
      </c>
    </row>
    <row r="470">
      <c r="A470" s="5" t="s">
        <v>12</v>
      </c>
      <c r="F470" s="6"/>
      <c r="G470" s="6"/>
      <c r="H470" s="6"/>
      <c r="I470" s="6"/>
      <c r="J470" s="6"/>
      <c r="K470" s="6"/>
      <c r="L470" s="6"/>
      <c r="M470" s="6"/>
      <c r="N470" s="6"/>
      <c r="O470" s="10" t="str">
        <f>CHANGE(P417,P470)</f>
        <v>#NAME?</v>
      </c>
      <c r="P470" s="7">
        <f>SUM(P457:P469)</f>
        <v>57980</v>
      </c>
    </row>
    <row r="471">
      <c r="A471" s="3">
        <v>2025.0</v>
      </c>
      <c r="B471" s="3" t="s">
        <v>210</v>
      </c>
      <c r="C471" s="1" t="s">
        <v>14</v>
      </c>
      <c r="F471" s="3" t="s">
        <v>15</v>
      </c>
      <c r="H471" s="3" t="s">
        <v>194</v>
      </c>
      <c r="L471" s="3">
        <v>1.0</v>
      </c>
      <c r="N471" s="3">
        <v>7990.0</v>
      </c>
      <c r="P471" s="4">
        <f t="shared" ref="P471:P482" si="39">N471*L471</f>
        <v>7990</v>
      </c>
    </row>
    <row r="472">
      <c r="A472" s="3">
        <v>2025.0</v>
      </c>
      <c r="B472" s="3" t="s">
        <v>210</v>
      </c>
      <c r="C472" s="1" t="s">
        <v>14</v>
      </c>
      <c r="F472" s="3" t="s">
        <v>15</v>
      </c>
      <c r="H472" s="3" t="s">
        <v>185</v>
      </c>
      <c r="L472" s="3">
        <v>1.0</v>
      </c>
      <c r="N472" s="3">
        <v>3790.0</v>
      </c>
      <c r="P472" s="4">
        <f t="shared" si="39"/>
        <v>3790</v>
      </c>
    </row>
    <row r="473">
      <c r="A473" s="3">
        <v>2025.0</v>
      </c>
      <c r="B473" s="3" t="s">
        <v>210</v>
      </c>
      <c r="C473" s="1" t="s">
        <v>14</v>
      </c>
      <c r="F473" s="3" t="s">
        <v>15</v>
      </c>
      <c r="H473" s="3" t="s">
        <v>190</v>
      </c>
      <c r="L473" s="3">
        <v>2.0</v>
      </c>
      <c r="N473" s="3">
        <v>4990.0</v>
      </c>
      <c r="P473" s="4">
        <f t="shared" si="39"/>
        <v>9980</v>
      </c>
    </row>
    <row r="474">
      <c r="A474" s="3">
        <v>2025.0</v>
      </c>
      <c r="B474" s="3" t="s">
        <v>210</v>
      </c>
      <c r="C474" s="1" t="s">
        <v>14</v>
      </c>
      <c r="F474" s="3" t="s">
        <v>15</v>
      </c>
      <c r="H474" s="3" t="s">
        <v>211</v>
      </c>
      <c r="L474" s="3">
        <v>1.0</v>
      </c>
      <c r="N474" s="3">
        <v>6990.0</v>
      </c>
      <c r="P474" s="4">
        <f t="shared" si="39"/>
        <v>6990</v>
      </c>
    </row>
    <row r="475">
      <c r="A475" s="3">
        <v>2025.0</v>
      </c>
      <c r="B475" s="3" t="s">
        <v>210</v>
      </c>
      <c r="C475" s="1" t="s">
        <v>14</v>
      </c>
      <c r="F475" s="3" t="s">
        <v>15</v>
      </c>
      <c r="H475" s="3" t="s">
        <v>212</v>
      </c>
      <c r="L475" s="3">
        <v>1.0</v>
      </c>
      <c r="N475" s="3">
        <v>8900.0</v>
      </c>
      <c r="P475" s="4">
        <f t="shared" si="39"/>
        <v>8900</v>
      </c>
    </row>
    <row r="476">
      <c r="A476" s="3">
        <v>2025.0</v>
      </c>
      <c r="B476" s="3" t="s">
        <v>210</v>
      </c>
      <c r="C476" s="1" t="s">
        <v>14</v>
      </c>
      <c r="F476" s="3" t="s">
        <v>15</v>
      </c>
      <c r="H476" s="3" t="s">
        <v>184</v>
      </c>
      <c r="L476" s="3">
        <v>1.0</v>
      </c>
      <c r="N476" s="3">
        <v>1150.0</v>
      </c>
      <c r="P476" s="4">
        <f t="shared" si="39"/>
        <v>1150</v>
      </c>
    </row>
    <row r="477">
      <c r="A477" s="3">
        <v>2025.0</v>
      </c>
      <c r="B477" s="3" t="s">
        <v>210</v>
      </c>
      <c r="C477" s="1" t="s">
        <v>14</v>
      </c>
      <c r="F477" s="3" t="s">
        <v>15</v>
      </c>
      <c r="H477" s="3" t="s">
        <v>198</v>
      </c>
      <c r="L477" s="3">
        <v>1.0</v>
      </c>
      <c r="N477" s="3">
        <v>1150.0</v>
      </c>
      <c r="P477" s="4">
        <f t="shared" si="39"/>
        <v>1150</v>
      </c>
    </row>
    <row r="478">
      <c r="A478" s="3">
        <v>2025.0</v>
      </c>
      <c r="B478" s="3" t="s">
        <v>210</v>
      </c>
      <c r="C478" s="1" t="s">
        <v>14</v>
      </c>
      <c r="F478" s="3" t="s">
        <v>15</v>
      </c>
      <c r="H478" s="3" t="s">
        <v>191</v>
      </c>
      <c r="L478" s="3">
        <v>1.0</v>
      </c>
      <c r="N478" s="3">
        <v>4950.0</v>
      </c>
      <c r="P478" s="4">
        <f t="shared" si="39"/>
        <v>4950</v>
      </c>
    </row>
    <row r="479">
      <c r="A479" s="3">
        <v>2025.0</v>
      </c>
      <c r="B479" s="3" t="s">
        <v>210</v>
      </c>
      <c r="C479" s="1" t="s">
        <v>14</v>
      </c>
      <c r="F479" s="3" t="s">
        <v>15</v>
      </c>
      <c r="H479" s="3" t="s">
        <v>213</v>
      </c>
      <c r="L479" s="3">
        <v>1.0</v>
      </c>
      <c r="N479" s="3">
        <v>1900.0</v>
      </c>
      <c r="P479" s="4">
        <f t="shared" si="39"/>
        <v>1900</v>
      </c>
    </row>
    <row r="480">
      <c r="A480" s="3">
        <v>2025.0</v>
      </c>
      <c r="B480" s="3" t="s">
        <v>210</v>
      </c>
      <c r="C480" s="1" t="s">
        <v>14</v>
      </c>
      <c r="F480" s="3" t="s">
        <v>15</v>
      </c>
      <c r="H480" s="3" t="s">
        <v>214</v>
      </c>
      <c r="L480" s="3">
        <v>1.0</v>
      </c>
      <c r="N480" s="3">
        <v>5100.0</v>
      </c>
      <c r="P480" s="4">
        <f t="shared" si="39"/>
        <v>5100</v>
      </c>
    </row>
    <row r="481">
      <c r="A481" s="3">
        <v>2025.0</v>
      </c>
      <c r="B481" s="3" t="s">
        <v>210</v>
      </c>
      <c r="C481" s="1" t="s">
        <v>14</v>
      </c>
      <c r="F481" s="3" t="s">
        <v>15</v>
      </c>
      <c r="H481" s="3" t="s">
        <v>206</v>
      </c>
      <c r="L481" s="3">
        <v>1.0</v>
      </c>
      <c r="N481" s="3">
        <v>3490.0</v>
      </c>
      <c r="P481" s="4">
        <f t="shared" si="39"/>
        <v>3490</v>
      </c>
    </row>
    <row r="482">
      <c r="A482" s="3">
        <v>2025.0</v>
      </c>
      <c r="B482" s="3" t="s">
        <v>210</v>
      </c>
      <c r="C482" s="1" t="s">
        <v>14</v>
      </c>
      <c r="F482" s="3" t="s">
        <v>15</v>
      </c>
      <c r="H482" s="3" t="s">
        <v>215</v>
      </c>
      <c r="L482" s="3">
        <v>1.0</v>
      </c>
      <c r="N482" s="3">
        <v>2850.0</v>
      </c>
      <c r="P482" s="4">
        <f t="shared" si="39"/>
        <v>2850</v>
      </c>
    </row>
    <row r="483">
      <c r="A483" s="5" t="s">
        <v>12</v>
      </c>
      <c r="F483" s="6"/>
      <c r="G483" s="6"/>
      <c r="H483" s="6"/>
      <c r="I483" s="6"/>
      <c r="J483" s="6"/>
      <c r="K483" s="6"/>
      <c r="L483" s="6"/>
      <c r="M483" s="6"/>
      <c r="N483" s="6"/>
      <c r="O483" s="10" t="str">
        <f>CHANGE(P430,P483)</f>
        <v>#NAME?</v>
      </c>
      <c r="P483" s="7">
        <f>SUM(P471:P482)</f>
        <v>58240</v>
      </c>
    </row>
    <row r="484">
      <c r="A484" s="3">
        <v>2025.0</v>
      </c>
      <c r="B484" s="3" t="s">
        <v>61</v>
      </c>
      <c r="C484" s="1" t="s">
        <v>109</v>
      </c>
      <c r="F484" s="3" t="s">
        <v>26</v>
      </c>
      <c r="H484" s="3" t="s">
        <v>216</v>
      </c>
      <c r="J484" s="13">
        <v>2084.0</v>
      </c>
      <c r="N484" s="3">
        <v>2380.0</v>
      </c>
      <c r="P484" s="4">
        <f t="shared" ref="P484:P498" si="40">N484*J484/1000</f>
        <v>4959.92</v>
      </c>
      <c r="S484" s="13"/>
    </row>
    <row r="485">
      <c r="A485" s="3">
        <v>2025.0</v>
      </c>
      <c r="B485" s="3" t="s">
        <v>61</v>
      </c>
      <c r="C485" s="1" t="s">
        <v>109</v>
      </c>
      <c r="F485" s="3" t="s">
        <v>26</v>
      </c>
      <c r="H485" s="3" t="s">
        <v>217</v>
      </c>
      <c r="J485" s="13">
        <v>2488.0</v>
      </c>
      <c r="N485" s="3">
        <v>1780.0</v>
      </c>
      <c r="P485" s="4">
        <f t="shared" si="40"/>
        <v>4428.64</v>
      </c>
      <c r="S485" s="13"/>
    </row>
    <row r="486">
      <c r="A486" s="3">
        <v>2025.0</v>
      </c>
      <c r="B486" s="3" t="s">
        <v>61</v>
      </c>
      <c r="C486" s="1" t="s">
        <v>109</v>
      </c>
      <c r="F486" s="3" t="s">
        <v>26</v>
      </c>
      <c r="H486" s="3" t="s">
        <v>217</v>
      </c>
      <c r="J486" s="13">
        <v>1128.0</v>
      </c>
      <c r="N486" s="3">
        <v>1780.0</v>
      </c>
      <c r="P486" s="4">
        <f t="shared" si="40"/>
        <v>2007.84</v>
      </c>
      <c r="S486" s="13"/>
    </row>
    <row r="487">
      <c r="A487" s="3">
        <v>2025.0</v>
      </c>
      <c r="B487" s="3" t="s">
        <v>61</v>
      </c>
      <c r="C487" s="1" t="s">
        <v>109</v>
      </c>
      <c r="F487" s="3" t="s">
        <v>26</v>
      </c>
      <c r="H487" s="3" t="s">
        <v>218</v>
      </c>
      <c r="J487" s="13">
        <v>1714.0</v>
      </c>
      <c r="N487" s="3">
        <v>2580.0</v>
      </c>
      <c r="P487" s="4">
        <f t="shared" si="40"/>
        <v>4422.12</v>
      </c>
      <c r="S487" s="13"/>
    </row>
    <row r="488">
      <c r="A488" s="3">
        <v>2025.0</v>
      </c>
      <c r="B488" s="3" t="s">
        <v>61</v>
      </c>
      <c r="C488" s="1" t="s">
        <v>109</v>
      </c>
      <c r="F488" s="3" t="s">
        <v>26</v>
      </c>
      <c r="H488" s="3" t="s">
        <v>219</v>
      </c>
      <c r="J488" s="13">
        <v>534.0</v>
      </c>
      <c r="N488" s="3">
        <v>5900.0</v>
      </c>
      <c r="P488" s="4">
        <f t="shared" si="40"/>
        <v>3150.6</v>
      </c>
      <c r="S488" s="13"/>
    </row>
    <row r="489">
      <c r="A489" s="3">
        <v>2025.0</v>
      </c>
      <c r="B489" s="3" t="s">
        <v>61</v>
      </c>
      <c r="C489" s="1" t="s">
        <v>109</v>
      </c>
      <c r="F489" s="3" t="s">
        <v>26</v>
      </c>
      <c r="H489" s="3" t="s">
        <v>220</v>
      </c>
      <c r="J489" s="13">
        <v>134.0</v>
      </c>
      <c r="N489" s="3">
        <v>12300.0</v>
      </c>
      <c r="P489" s="4">
        <f t="shared" si="40"/>
        <v>1648.2</v>
      </c>
      <c r="S489" s="13"/>
    </row>
    <row r="490">
      <c r="A490" s="3">
        <v>2025.0</v>
      </c>
      <c r="B490" s="3" t="s">
        <v>61</v>
      </c>
      <c r="C490" s="1" t="s">
        <v>109</v>
      </c>
      <c r="F490" s="3" t="s">
        <v>26</v>
      </c>
      <c r="H490" s="3" t="s">
        <v>221</v>
      </c>
      <c r="J490" s="13">
        <v>1794.0</v>
      </c>
      <c r="N490" s="3">
        <v>9000.0</v>
      </c>
      <c r="P490" s="4">
        <f t="shared" si="40"/>
        <v>16146</v>
      </c>
      <c r="S490" s="13"/>
    </row>
    <row r="491">
      <c r="A491" s="3">
        <v>2025.0</v>
      </c>
      <c r="B491" s="3" t="s">
        <v>61</v>
      </c>
      <c r="C491" s="1" t="s">
        <v>109</v>
      </c>
      <c r="F491" s="3" t="s">
        <v>26</v>
      </c>
      <c r="H491" s="3" t="s">
        <v>222</v>
      </c>
      <c r="J491" s="13">
        <v>432.0</v>
      </c>
      <c r="N491" s="3">
        <v>6900.0</v>
      </c>
      <c r="P491" s="4">
        <f t="shared" si="40"/>
        <v>2980.8</v>
      </c>
      <c r="S491" s="13"/>
    </row>
    <row r="492">
      <c r="A492" s="3">
        <v>2025.0</v>
      </c>
      <c r="B492" s="3" t="s">
        <v>61</v>
      </c>
      <c r="C492" s="1" t="s">
        <v>109</v>
      </c>
      <c r="F492" s="3" t="s">
        <v>26</v>
      </c>
      <c r="H492" s="3" t="s">
        <v>223</v>
      </c>
      <c r="J492" s="13">
        <v>892.0</v>
      </c>
      <c r="N492" s="3">
        <v>7100.0</v>
      </c>
      <c r="P492" s="4">
        <f t="shared" si="40"/>
        <v>6333.2</v>
      </c>
      <c r="Q492" s="3" t="s">
        <v>224</v>
      </c>
      <c r="S492" s="13"/>
    </row>
    <row r="493">
      <c r="A493" s="3">
        <v>2025.0</v>
      </c>
      <c r="B493" s="3" t="s">
        <v>61</v>
      </c>
      <c r="C493" s="1" t="s">
        <v>109</v>
      </c>
      <c r="F493" s="3" t="s">
        <v>26</v>
      </c>
      <c r="H493" s="3" t="s">
        <v>225</v>
      </c>
      <c r="J493" s="13">
        <v>1804.0</v>
      </c>
      <c r="N493" s="3">
        <v>3300.0</v>
      </c>
      <c r="P493" s="4">
        <f t="shared" si="40"/>
        <v>5953.2</v>
      </c>
      <c r="S493" s="13"/>
    </row>
    <row r="494">
      <c r="A494" s="3">
        <v>2025.0</v>
      </c>
      <c r="B494" s="3" t="s">
        <v>61</v>
      </c>
      <c r="C494" s="1" t="s">
        <v>109</v>
      </c>
      <c r="F494" s="3" t="s">
        <v>26</v>
      </c>
      <c r="H494" s="3" t="s">
        <v>226</v>
      </c>
      <c r="J494" s="13">
        <v>3788.0</v>
      </c>
      <c r="N494" s="3">
        <v>4700.0</v>
      </c>
      <c r="P494" s="4">
        <f t="shared" si="40"/>
        <v>17803.6</v>
      </c>
      <c r="S494" s="13"/>
    </row>
    <row r="495">
      <c r="A495" s="3">
        <v>2025.0</v>
      </c>
      <c r="B495" s="3" t="s">
        <v>61</v>
      </c>
      <c r="C495" s="1" t="s">
        <v>109</v>
      </c>
      <c r="F495" s="3" t="s">
        <v>26</v>
      </c>
      <c r="H495" s="3" t="s">
        <v>227</v>
      </c>
      <c r="J495" s="13">
        <v>1176.0</v>
      </c>
      <c r="N495" s="3">
        <v>1980.0</v>
      </c>
      <c r="P495" s="4">
        <f t="shared" si="40"/>
        <v>2328.48</v>
      </c>
      <c r="S495" s="13"/>
    </row>
    <row r="496">
      <c r="A496" s="3">
        <v>2025.0</v>
      </c>
      <c r="B496" s="3" t="s">
        <v>61</v>
      </c>
      <c r="C496" s="1" t="s">
        <v>109</v>
      </c>
      <c r="F496" s="3" t="s">
        <v>26</v>
      </c>
      <c r="H496" s="3" t="s">
        <v>228</v>
      </c>
      <c r="J496" s="13">
        <v>1312.0</v>
      </c>
      <c r="N496" s="3">
        <v>1980.0</v>
      </c>
      <c r="P496" s="4">
        <f t="shared" si="40"/>
        <v>2597.76</v>
      </c>
      <c r="S496" s="13"/>
    </row>
    <row r="497">
      <c r="A497" s="3">
        <v>2025.0</v>
      </c>
      <c r="B497" s="3" t="s">
        <v>61</v>
      </c>
      <c r="C497" s="1" t="s">
        <v>109</v>
      </c>
      <c r="F497" s="3" t="s">
        <v>26</v>
      </c>
      <c r="H497" s="3" t="s">
        <v>229</v>
      </c>
      <c r="J497" s="13">
        <v>634.0</v>
      </c>
      <c r="N497" s="3">
        <v>2380.0</v>
      </c>
      <c r="P497" s="4">
        <f t="shared" si="40"/>
        <v>1508.92</v>
      </c>
      <c r="S497" s="13"/>
    </row>
    <row r="498">
      <c r="A498" s="3">
        <v>2025.0</v>
      </c>
      <c r="B498" s="3" t="s">
        <v>61</v>
      </c>
      <c r="C498" s="1" t="s">
        <v>109</v>
      </c>
      <c r="F498" s="3" t="s">
        <v>26</v>
      </c>
      <c r="H498" s="3" t="s">
        <v>230</v>
      </c>
      <c r="J498" s="13">
        <v>836.0</v>
      </c>
      <c r="N498" s="3">
        <v>5100.0</v>
      </c>
      <c r="P498" s="4">
        <f t="shared" si="40"/>
        <v>4263.6</v>
      </c>
      <c r="S498" s="13"/>
    </row>
    <row r="499">
      <c r="A499" s="3">
        <v>2025.0</v>
      </c>
      <c r="B499" s="3" t="s">
        <v>61</v>
      </c>
      <c r="C499" s="1" t="s">
        <v>109</v>
      </c>
      <c r="F499" s="3" t="s">
        <v>26</v>
      </c>
      <c r="H499" s="3" t="s">
        <v>231</v>
      </c>
      <c r="L499" s="3">
        <v>1.0</v>
      </c>
      <c r="N499" s="3">
        <v>7200.0</v>
      </c>
      <c r="P499" s="4">
        <f t="shared" ref="P499:P506" si="41">N499*L499</f>
        <v>7200</v>
      </c>
    </row>
    <row r="500">
      <c r="A500" s="3">
        <v>2025.0</v>
      </c>
      <c r="B500" s="3" t="s">
        <v>61</v>
      </c>
      <c r="C500" s="1" t="s">
        <v>109</v>
      </c>
      <c r="F500" s="3" t="s">
        <v>26</v>
      </c>
      <c r="H500" s="3" t="s">
        <v>232</v>
      </c>
      <c r="L500" s="3">
        <v>1.0</v>
      </c>
      <c r="N500" s="3">
        <v>1350.0</v>
      </c>
      <c r="P500" s="4">
        <f t="shared" si="41"/>
        <v>1350</v>
      </c>
    </row>
    <row r="501">
      <c r="A501" s="3">
        <v>2025.0</v>
      </c>
      <c r="B501" s="3" t="s">
        <v>61</v>
      </c>
      <c r="C501" s="1" t="s">
        <v>109</v>
      </c>
      <c r="F501" s="3" t="s">
        <v>26</v>
      </c>
      <c r="H501" s="3" t="s">
        <v>233</v>
      </c>
      <c r="L501" s="3">
        <v>1.0</v>
      </c>
      <c r="N501" s="3">
        <v>4990.0</v>
      </c>
      <c r="P501" s="4">
        <f t="shared" si="41"/>
        <v>4990</v>
      </c>
    </row>
    <row r="502">
      <c r="A502" s="3">
        <v>2025.0</v>
      </c>
      <c r="B502" s="3" t="s">
        <v>61</v>
      </c>
      <c r="C502" s="1" t="s">
        <v>109</v>
      </c>
      <c r="F502" s="3" t="s">
        <v>26</v>
      </c>
      <c r="H502" s="3" t="s">
        <v>234</v>
      </c>
      <c r="L502" s="3">
        <v>1.0</v>
      </c>
      <c r="N502" s="3">
        <v>15990.0</v>
      </c>
      <c r="P502" s="4">
        <f t="shared" si="41"/>
        <v>15990</v>
      </c>
    </row>
    <row r="503">
      <c r="A503" s="3">
        <v>2025.0</v>
      </c>
      <c r="B503" s="3" t="s">
        <v>61</v>
      </c>
      <c r="C503" s="1" t="s">
        <v>109</v>
      </c>
      <c r="F503" s="3" t="s">
        <v>26</v>
      </c>
      <c r="H503" s="3" t="s">
        <v>235</v>
      </c>
      <c r="L503" s="3">
        <v>1.0</v>
      </c>
      <c r="N503" s="3">
        <v>3550.0</v>
      </c>
      <c r="P503" s="4">
        <f t="shared" si="41"/>
        <v>3550</v>
      </c>
    </row>
    <row r="504">
      <c r="A504" s="3">
        <v>2025.0</v>
      </c>
      <c r="B504" s="3" t="s">
        <v>61</v>
      </c>
      <c r="C504" s="1" t="s">
        <v>109</v>
      </c>
      <c r="F504" s="3" t="s">
        <v>26</v>
      </c>
      <c r="H504" s="3" t="s">
        <v>236</v>
      </c>
      <c r="L504" s="3">
        <v>1.0</v>
      </c>
      <c r="N504" s="3" t="s">
        <v>224</v>
      </c>
      <c r="P504" s="4" t="str">
        <f t="shared" si="41"/>
        <v>#VALUE!</v>
      </c>
      <c r="Q504" s="3">
        <v>3990.0</v>
      </c>
    </row>
    <row r="505">
      <c r="A505" s="3">
        <v>2025.0</v>
      </c>
      <c r="B505" s="3" t="s">
        <v>61</v>
      </c>
      <c r="C505" s="1" t="s">
        <v>109</v>
      </c>
      <c r="F505" s="3" t="s">
        <v>26</v>
      </c>
      <c r="H505" s="3" t="s">
        <v>237</v>
      </c>
      <c r="L505" s="3">
        <v>1.0</v>
      </c>
      <c r="N505" s="3">
        <v>1990.0</v>
      </c>
      <c r="P505" s="4">
        <f t="shared" si="41"/>
        <v>1990</v>
      </c>
    </row>
    <row r="506">
      <c r="A506" s="3">
        <v>2025.0</v>
      </c>
      <c r="B506" s="3" t="s">
        <v>61</v>
      </c>
      <c r="C506" s="1" t="s">
        <v>109</v>
      </c>
      <c r="F506" s="3" t="s">
        <v>26</v>
      </c>
      <c r="H506" s="3" t="s">
        <v>238</v>
      </c>
      <c r="L506" s="3">
        <v>1.0</v>
      </c>
      <c r="N506" s="3">
        <v>12990.0</v>
      </c>
      <c r="P506" s="4">
        <f t="shared" si="41"/>
        <v>12990</v>
      </c>
    </row>
    <row r="507">
      <c r="A507" s="3">
        <v>2025.0</v>
      </c>
      <c r="B507" s="3" t="s">
        <v>61</v>
      </c>
      <c r="C507" s="1" t="s">
        <v>109</v>
      </c>
      <c r="F507" s="3" t="s">
        <v>26</v>
      </c>
      <c r="H507" s="3" t="s">
        <v>239</v>
      </c>
      <c r="J507" s="13">
        <v>1260.0</v>
      </c>
      <c r="N507" s="3">
        <v>14780.0</v>
      </c>
      <c r="P507" s="4">
        <f t="shared" ref="P507:P514" si="42">N507*J507/1000</f>
        <v>18622.8</v>
      </c>
      <c r="S507" s="13"/>
    </row>
    <row r="508">
      <c r="A508" s="3">
        <v>2025.0</v>
      </c>
      <c r="B508" s="3" t="s">
        <v>61</v>
      </c>
      <c r="C508" s="1" t="s">
        <v>109</v>
      </c>
      <c r="F508" s="3" t="s">
        <v>26</v>
      </c>
      <c r="H508" s="3" t="s">
        <v>240</v>
      </c>
      <c r="J508" s="13">
        <v>3065.0</v>
      </c>
      <c r="N508" s="3">
        <v>9400.0</v>
      </c>
      <c r="P508" s="4">
        <f t="shared" si="42"/>
        <v>28811</v>
      </c>
      <c r="S508" s="13"/>
    </row>
    <row r="509">
      <c r="A509" s="3">
        <v>2025.0</v>
      </c>
      <c r="B509" s="3" t="s">
        <v>61</v>
      </c>
      <c r="C509" s="1" t="s">
        <v>109</v>
      </c>
      <c r="F509" s="3" t="s">
        <v>26</v>
      </c>
      <c r="H509" s="3" t="s">
        <v>241</v>
      </c>
      <c r="J509" s="3" t="s">
        <v>224</v>
      </c>
      <c r="K509" s="3" t="s">
        <v>224</v>
      </c>
      <c r="N509" s="3">
        <v>19000.0</v>
      </c>
      <c r="P509" s="4" t="str">
        <f t="shared" si="42"/>
        <v>#VALUE!</v>
      </c>
      <c r="Q509" s="3">
        <v>19646.0</v>
      </c>
    </row>
    <row r="510">
      <c r="A510" s="3">
        <v>2025.0</v>
      </c>
      <c r="B510" s="3" t="s">
        <v>61</v>
      </c>
      <c r="C510" s="1" t="s">
        <v>109</v>
      </c>
      <c r="F510" s="3" t="s">
        <v>26</v>
      </c>
      <c r="H510" s="3" t="s">
        <v>242</v>
      </c>
      <c r="J510" s="3" t="s">
        <v>224</v>
      </c>
      <c r="K510" s="3" t="s">
        <v>224</v>
      </c>
      <c r="N510" s="3">
        <v>18580.0</v>
      </c>
      <c r="P510" s="4" t="str">
        <f t="shared" si="42"/>
        <v>#VALUE!</v>
      </c>
      <c r="Q510" s="3">
        <v>21887.0</v>
      </c>
    </row>
    <row r="511">
      <c r="A511" s="3">
        <v>2025.0</v>
      </c>
      <c r="B511" s="3" t="s">
        <v>61</v>
      </c>
      <c r="C511" s="1" t="s">
        <v>109</v>
      </c>
      <c r="F511" s="3" t="s">
        <v>26</v>
      </c>
      <c r="H511" s="3" t="s">
        <v>243</v>
      </c>
      <c r="J511" s="13">
        <v>740.0</v>
      </c>
      <c r="N511" s="3">
        <v>19000.0</v>
      </c>
      <c r="P511" s="4">
        <f t="shared" si="42"/>
        <v>14060</v>
      </c>
      <c r="S511" s="13"/>
    </row>
    <row r="512">
      <c r="A512" s="3">
        <v>2025.0</v>
      </c>
      <c r="B512" s="3" t="s">
        <v>61</v>
      </c>
      <c r="C512" s="1" t="s">
        <v>109</v>
      </c>
      <c r="F512" s="3" t="s">
        <v>26</v>
      </c>
      <c r="H512" s="3" t="s">
        <v>244</v>
      </c>
      <c r="J512" s="13">
        <v>1146.0</v>
      </c>
      <c r="N512" s="3">
        <v>19000.0</v>
      </c>
      <c r="P512" s="4">
        <f t="shared" si="42"/>
        <v>21774</v>
      </c>
      <c r="S512" s="13"/>
    </row>
    <row r="513">
      <c r="A513" s="3">
        <v>2025.0</v>
      </c>
      <c r="B513" s="3" t="s">
        <v>61</v>
      </c>
      <c r="C513" s="1" t="s">
        <v>109</v>
      </c>
      <c r="F513" s="3" t="s">
        <v>26</v>
      </c>
      <c r="H513" s="3" t="s">
        <v>245</v>
      </c>
      <c r="J513" s="13">
        <v>1044.0</v>
      </c>
      <c r="N513" s="3">
        <v>31980.0</v>
      </c>
      <c r="P513" s="4">
        <f t="shared" si="42"/>
        <v>33387.12</v>
      </c>
      <c r="S513" s="13"/>
    </row>
    <row r="514">
      <c r="A514" s="3">
        <v>2025.0</v>
      </c>
      <c r="B514" s="3" t="s">
        <v>61</v>
      </c>
      <c r="C514" s="1" t="s">
        <v>109</v>
      </c>
      <c r="F514" s="3" t="s">
        <v>26</v>
      </c>
      <c r="H514" s="3" t="s">
        <v>246</v>
      </c>
      <c r="J514" s="13">
        <v>1026.0</v>
      </c>
      <c r="N514" s="3">
        <v>26380.0</v>
      </c>
      <c r="P514" s="4">
        <f t="shared" si="42"/>
        <v>27065.88</v>
      </c>
      <c r="S514" s="13"/>
    </row>
    <row r="515">
      <c r="A515" s="5" t="s">
        <v>12</v>
      </c>
      <c r="F515" s="6"/>
      <c r="G515" s="6"/>
      <c r="H515" s="6"/>
      <c r="I515" s="6"/>
      <c r="J515" s="6"/>
      <c r="K515" s="6"/>
      <c r="L515" s="6"/>
      <c r="M515" s="6"/>
      <c r="N515" s="6"/>
      <c r="O515" s="10" t="str">
        <f>CHANGE(P462,P515)</f>
        <v>#NAME?</v>
      </c>
      <c r="P515" s="7" t="str">
        <f>SUM(P484:P514)</f>
        <v>#VALUE!</v>
      </c>
      <c r="Q515" s="3">
        <v>317838.0</v>
      </c>
      <c r="R515" s="3" t="s">
        <v>247</v>
      </c>
      <c r="S515" s="3" t="s">
        <v>247</v>
      </c>
      <c r="T515" s="3"/>
      <c r="U515" s="3"/>
      <c r="V515" s="3" t="s">
        <v>247</v>
      </c>
    </row>
    <row r="516">
      <c r="A516" s="3">
        <v>2025.0</v>
      </c>
      <c r="B516" s="3" t="s">
        <v>163</v>
      </c>
      <c r="C516" s="1" t="s">
        <v>14</v>
      </c>
      <c r="F516" s="3" t="s">
        <v>26</v>
      </c>
      <c r="H516" s="3" t="s">
        <v>248</v>
      </c>
      <c r="L516" s="3">
        <v>1.0</v>
      </c>
      <c r="N516" s="3">
        <v>27600.0</v>
      </c>
      <c r="P516" s="4">
        <f>N516*L516</f>
        <v>27600</v>
      </c>
    </row>
    <row r="517">
      <c r="A517" s="3">
        <v>2025.0</v>
      </c>
      <c r="B517" s="3" t="s">
        <v>163</v>
      </c>
      <c r="C517" s="1" t="s">
        <v>14</v>
      </c>
      <c r="F517" s="3" t="s">
        <v>26</v>
      </c>
      <c r="H517" s="3" t="s">
        <v>219</v>
      </c>
      <c r="J517" s="13">
        <v>700.0</v>
      </c>
      <c r="N517" s="3">
        <v>7200.0</v>
      </c>
      <c r="P517" s="4">
        <f t="shared" ref="P517:P528" si="43">N517*J517/1000</f>
        <v>5040</v>
      </c>
      <c r="Q517" s="3">
        <v>4284.0</v>
      </c>
      <c r="T517" s="13"/>
    </row>
    <row r="518">
      <c r="A518" s="3">
        <v>2025.0</v>
      </c>
      <c r="B518" s="3" t="s">
        <v>163</v>
      </c>
      <c r="C518" s="1" t="s">
        <v>14</v>
      </c>
      <c r="F518" s="3" t="s">
        <v>26</v>
      </c>
      <c r="H518" s="3" t="s">
        <v>230</v>
      </c>
      <c r="J518" s="13">
        <v>570.0</v>
      </c>
      <c r="N518" s="3">
        <v>3700.0</v>
      </c>
      <c r="P518" s="4">
        <f t="shared" si="43"/>
        <v>2109</v>
      </c>
      <c r="Q518" s="3">
        <v>1793.0</v>
      </c>
      <c r="T518" s="13"/>
    </row>
    <row r="519">
      <c r="A519" s="3">
        <v>2025.0</v>
      </c>
      <c r="B519" s="3" t="s">
        <v>163</v>
      </c>
      <c r="C519" s="1" t="s">
        <v>14</v>
      </c>
      <c r="F519" s="3" t="s">
        <v>26</v>
      </c>
      <c r="H519" s="3" t="s">
        <v>245</v>
      </c>
      <c r="J519" s="13">
        <v>1198.0</v>
      </c>
      <c r="N519" s="3">
        <v>32000.0</v>
      </c>
      <c r="P519" s="4">
        <f t="shared" si="43"/>
        <v>38336</v>
      </c>
      <c r="Q519" s="3">
        <v>38312.0</v>
      </c>
      <c r="T519" s="13"/>
    </row>
    <row r="520">
      <c r="A520" s="3">
        <v>2025.0</v>
      </c>
      <c r="B520" s="3" t="s">
        <v>163</v>
      </c>
      <c r="C520" s="1" t="s">
        <v>14</v>
      </c>
      <c r="F520" s="3" t="s">
        <v>26</v>
      </c>
      <c r="H520" s="3" t="s">
        <v>246</v>
      </c>
      <c r="J520" s="13">
        <v>1304.0</v>
      </c>
      <c r="N520" s="3" t="s">
        <v>224</v>
      </c>
      <c r="P520" s="4" t="str">
        <f t="shared" si="43"/>
        <v>#VALUE!</v>
      </c>
      <c r="Q520" s="3" t="s">
        <v>224</v>
      </c>
      <c r="T520" s="13"/>
    </row>
    <row r="521">
      <c r="A521" s="3">
        <v>2025.0</v>
      </c>
      <c r="B521" s="3" t="s">
        <v>163</v>
      </c>
      <c r="C521" s="1" t="s">
        <v>14</v>
      </c>
      <c r="F521" s="3" t="s">
        <v>26</v>
      </c>
      <c r="H521" s="3" t="s">
        <v>228</v>
      </c>
      <c r="J521" s="13">
        <v>1730.0</v>
      </c>
      <c r="N521" s="3">
        <v>1980.0</v>
      </c>
      <c r="P521" s="4">
        <f t="shared" si="43"/>
        <v>3425.4</v>
      </c>
      <c r="T521" s="13"/>
    </row>
    <row r="522">
      <c r="A522" s="3">
        <v>2025.0</v>
      </c>
      <c r="B522" s="3" t="s">
        <v>163</v>
      </c>
      <c r="C522" s="1" t="s">
        <v>14</v>
      </c>
      <c r="F522" s="3" t="s">
        <v>26</v>
      </c>
      <c r="H522" s="3" t="s">
        <v>227</v>
      </c>
      <c r="J522" s="13">
        <v>1045.0</v>
      </c>
      <c r="N522" s="3">
        <v>1580.0</v>
      </c>
      <c r="P522" s="4">
        <f t="shared" si="43"/>
        <v>1651.1</v>
      </c>
      <c r="Q522" s="3">
        <v>1403.0</v>
      </c>
      <c r="T522" s="13"/>
    </row>
    <row r="523">
      <c r="A523" s="3">
        <v>2025.0</v>
      </c>
      <c r="B523" s="3" t="s">
        <v>163</v>
      </c>
      <c r="C523" s="1" t="s">
        <v>14</v>
      </c>
      <c r="F523" s="3" t="s">
        <v>26</v>
      </c>
      <c r="H523" s="3" t="s">
        <v>228</v>
      </c>
      <c r="J523" s="13">
        <v>925.0</v>
      </c>
      <c r="N523" s="3">
        <v>1980.0</v>
      </c>
      <c r="P523" s="4">
        <f t="shared" si="43"/>
        <v>1831.5</v>
      </c>
      <c r="T523" s="13"/>
    </row>
    <row r="524">
      <c r="A524" s="3">
        <v>2025.0</v>
      </c>
      <c r="B524" s="3" t="s">
        <v>163</v>
      </c>
      <c r="C524" s="1" t="s">
        <v>14</v>
      </c>
      <c r="F524" s="3" t="s">
        <v>26</v>
      </c>
      <c r="H524" s="3" t="s">
        <v>223</v>
      </c>
      <c r="J524" s="13">
        <v>355.0</v>
      </c>
      <c r="N524" s="3">
        <v>7800.0</v>
      </c>
      <c r="P524" s="4">
        <f t="shared" si="43"/>
        <v>2769</v>
      </c>
      <c r="T524" s="13"/>
    </row>
    <row r="525">
      <c r="A525" s="3">
        <v>2025.0</v>
      </c>
      <c r="B525" s="3" t="s">
        <v>163</v>
      </c>
      <c r="C525" s="1" t="s">
        <v>14</v>
      </c>
      <c r="F525" s="3" t="s">
        <v>26</v>
      </c>
      <c r="H525" s="3" t="s">
        <v>221</v>
      </c>
      <c r="J525" s="13">
        <v>1320.0</v>
      </c>
      <c r="N525" s="3">
        <v>9000.0</v>
      </c>
      <c r="P525" s="4">
        <f t="shared" si="43"/>
        <v>11880</v>
      </c>
      <c r="Q525" s="3">
        <v>10098.0</v>
      </c>
      <c r="T525" s="13"/>
    </row>
    <row r="526">
      <c r="A526" s="3">
        <v>2025.0</v>
      </c>
      <c r="B526" s="3" t="s">
        <v>163</v>
      </c>
      <c r="C526" s="1" t="s">
        <v>14</v>
      </c>
      <c r="F526" s="3" t="s">
        <v>26</v>
      </c>
      <c r="H526" s="3" t="s">
        <v>249</v>
      </c>
      <c r="J526" s="13">
        <v>1120.0</v>
      </c>
      <c r="N526" s="3">
        <v>2780.0</v>
      </c>
      <c r="P526" s="4">
        <f t="shared" si="43"/>
        <v>3113.6</v>
      </c>
      <c r="Q526" s="3">
        <v>2647.0</v>
      </c>
      <c r="T526" s="13"/>
    </row>
    <row r="527">
      <c r="A527" s="3">
        <v>2025.0</v>
      </c>
      <c r="B527" s="3" t="s">
        <v>163</v>
      </c>
      <c r="C527" s="1" t="s">
        <v>14</v>
      </c>
      <c r="F527" s="3" t="s">
        <v>26</v>
      </c>
      <c r="H527" s="3" t="s">
        <v>230</v>
      </c>
      <c r="J527" s="13">
        <v>410.0</v>
      </c>
      <c r="N527" s="3">
        <v>3700.0</v>
      </c>
      <c r="P527" s="4">
        <f t="shared" si="43"/>
        <v>1517</v>
      </c>
      <c r="Q527" s="3">
        <v>1289.0</v>
      </c>
      <c r="T527" s="13"/>
    </row>
    <row r="528">
      <c r="A528" s="3">
        <v>2025.0</v>
      </c>
      <c r="B528" s="3" t="s">
        <v>163</v>
      </c>
      <c r="C528" s="1" t="s">
        <v>14</v>
      </c>
      <c r="F528" s="3" t="s">
        <v>26</v>
      </c>
      <c r="H528" s="3" t="s">
        <v>227</v>
      </c>
      <c r="J528" s="13">
        <v>1160.0</v>
      </c>
      <c r="N528" s="3">
        <v>1580.0</v>
      </c>
      <c r="P528" s="4">
        <f t="shared" si="43"/>
        <v>1832.8</v>
      </c>
      <c r="Q528" s="3">
        <v>1558.0</v>
      </c>
      <c r="T528" s="13"/>
    </row>
    <row r="529">
      <c r="A529" s="3">
        <v>2025.0</v>
      </c>
      <c r="B529" s="3" t="s">
        <v>163</v>
      </c>
      <c r="C529" s="1" t="s">
        <v>14</v>
      </c>
      <c r="F529" s="3" t="s">
        <v>26</v>
      </c>
      <c r="H529" s="3" t="s">
        <v>250</v>
      </c>
      <c r="L529" s="3">
        <v>1.0</v>
      </c>
      <c r="N529" s="3">
        <v>3590.0</v>
      </c>
      <c r="P529" s="4">
        <f t="shared" ref="P529:P531" si="44">N529*L529</f>
        <v>3590</v>
      </c>
    </row>
    <row r="530">
      <c r="A530" s="3">
        <v>2025.0</v>
      </c>
      <c r="B530" s="3" t="s">
        <v>163</v>
      </c>
      <c r="C530" s="1" t="s">
        <v>14</v>
      </c>
      <c r="F530" s="3" t="s">
        <v>26</v>
      </c>
      <c r="H530" s="3" t="s">
        <v>236</v>
      </c>
      <c r="L530" s="3">
        <v>1.0</v>
      </c>
      <c r="N530" s="3">
        <v>4150.0</v>
      </c>
      <c r="P530" s="4">
        <f t="shared" si="44"/>
        <v>4150</v>
      </c>
    </row>
    <row r="531">
      <c r="A531" s="3">
        <v>2025.0</v>
      </c>
      <c r="B531" s="3" t="s">
        <v>163</v>
      </c>
      <c r="C531" s="1" t="s">
        <v>14</v>
      </c>
      <c r="F531" s="3" t="s">
        <v>26</v>
      </c>
      <c r="H531" s="3" t="s">
        <v>251</v>
      </c>
      <c r="L531" s="3">
        <v>1.0</v>
      </c>
      <c r="N531" s="3">
        <v>3190.0</v>
      </c>
      <c r="P531" s="4">
        <f t="shared" si="44"/>
        <v>3190</v>
      </c>
    </row>
    <row r="532">
      <c r="A532" s="3">
        <v>2025.0</v>
      </c>
      <c r="B532" s="3" t="s">
        <v>163</v>
      </c>
      <c r="C532" s="1" t="s">
        <v>14</v>
      </c>
      <c r="F532" s="3" t="s">
        <v>26</v>
      </c>
      <c r="H532" s="3" t="s">
        <v>223</v>
      </c>
      <c r="J532" s="13">
        <v>375.0</v>
      </c>
      <c r="N532" s="3">
        <v>7800.0</v>
      </c>
      <c r="P532" s="4">
        <f>N532*J532/1000</f>
        <v>2925</v>
      </c>
      <c r="Q532" s="3">
        <v>2486.0</v>
      </c>
      <c r="T532" s="13"/>
    </row>
    <row r="533">
      <c r="A533" s="3">
        <v>2025.0</v>
      </c>
      <c r="B533" s="3" t="s">
        <v>163</v>
      </c>
      <c r="C533" s="1" t="s">
        <v>14</v>
      </c>
      <c r="F533" s="3" t="s">
        <v>26</v>
      </c>
      <c r="H533" s="3" t="s">
        <v>252</v>
      </c>
      <c r="L533" s="3">
        <v>1.0</v>
      </c>
      <c r="N533" s="3">
        <v>18990.0</v>
      </c>
      <c r="P533" s="4">
        <f t="shared" ref="P533:P534" si="45">N533*L533</f>
        <v>18990</v>
      </c>
    </row>
    <row r="534">
      <c r="A534" s="3">
        <v>2025.0</v>
      </c>
      <c r="B534" s="3" t="s">
        <v>163</v>
      </c>
      <c r="C534" s="1" t="s">
        <v>14</v>
      </c>
      <c r="F534" s="3" t="s">
        <v>26</v>
      </c>
      <c r="H534" s="3" t="s">
        <v>231</v>
      </c>
      <c r="L534" s="3">
        <v>1.0</v>
      </c>
      <c r="N534" s="3">
        <v>7200.0</v>
      </c>
      <c r="P534" s="4">
        <f t="shared" si="45"/>
        <v>7200</v>
      </c>
    </row>
    <row r="535">
      <c r="A535" s="3">
        <v>2025.0</v>
      </c>
      <c r="B535" s="3" t="s">
        <v>163</v>
      </c>
      <c r="C535" s="1" t="s">
        <v>14</v>
      </c>
      <c r="F535" s="3" t="s">
        <v>26</v>
      </c>
      <c r="H535" s="3" t="s">
        <v>253</v>
      </c>
      <c r="J535" s="13">
        <v>2340.0</v>
      </c>
      <c r="N535" s="3">
        <v>1980.0</v>
      </c>
      <c r="P535" s="4">
        <f t="shared" ref="P535:P550" si="46">N535*J535/1000</f>
        <v>4633.2</v>
      </c>
      <c r="T535" s="13"/>
    </row>
    <row r="536">
      <c r="A536" s="3">
        <v>2025.0</v>
      </c>
      <c r="B536" s="3" t="s">
        <v>163</v>
      </c>
      <c r="C536" s="1" t="s">
        <v>14</v>
      </c>
      <c r="F536" s="3" t="s">
        <v>26</v>
      </c>
      <c r="H536" s="3" t="s">
        <v>254</v>
      </c>
      <c r="J536" s="13">
        <v>725.0</v>
      </c>
      <c r="N536" s="3">
        <v>3100.0</v>
      </c>
      <c r="P536" s="4">
        <f t="shared" si="46"/>
        <v>2247.5</v>
      </c>
      <c r="Q536" s="3">
        <v>1911.0</v>
      </c>
      <c r="T536" s="13"/>
    </row>
    <row r="537">
      <c r="A537" s="3">
        <v>2025.0</v>
      </c>
      <c r="B537" s="3" t="s">
        <v>163</v>
      </c>
      <c r="C537" s="1" t="s">
        <v>14</v>
      </c>
      <c r="F537" s="3" t="s">
        <v>26</v>
      </c>
      <c r="H537" s="3" t="s">
        <v>225</v>
      </c>
      <c r="J537" s="13">
        <v>1270.0</v>
      </c>
      <c r="N537" s="3">
        <v>3580.0</v>
      </c>
      <c r="P537" s="4">
        <f t="shared" si="46"/>
        <v>4546.6</v>
      </c>
      <c r="Q537" s="3">
        <v>3865.0</v>
      </c>
      <c r="T537" s="13"/>
    </row>
    <row r="538">
      <c r="A538" s="3">
        <v>2025.0</v>
      </c>
      <c r="B538" s="3" t="s">
        <v>163</v>
      </c>
      <c r="C538" s="1" t="s">
        <v>14</v>
      </c>
      <c r="F538" s="3" t="s">
        <v>26</v>
      </c>
      <c r="H538" s="3" t="s">
        <v>243</v>
      </c>
      <c r="J538" s="13">
        <v>880.0</v>
      </c>
      <c r="N538" s="3">
        <v>17800.0</v>
      </c>
      <c r="P538" s="4">
        <f t="shared" si="46"/>
        <v>15664</v>
      </c>
      <c r="T538" s="13"/>
    </row>
    <row r="539">
      <c r="A539" s="3">
        <v>2025.0</v>
      </c>
      <c r="B539" s="3" t="s">
        <v>163</v>
      </c>
      <c r="C539" s="1" t="s">
        <v>14</v>
      </c>
      <c r="F539" s="3" t="s">
        <v>26</v>
      </c>
      <c r="H539" s="3" t="s">
        <v>244</v>
      </c>
      <c r="J539" s="3" t="s">
        <v>224</v>
      </c>
      <c r="N539" s="3">
        <v>17400.0</v>
      </c>
      <c r="P539" s="4" t="str">
        <f t="shared" si="46"/>
        <v>#VALUE!</v>
      </c>
      <c r="Q539" s="3">
        <v>19175.0</v>
      </c>
    </row>
    <row r="540">
      <c r="A540" s="3">
        <v>2025.0</v>
      </c>
      <c r="B540" s="3" t="s">
        <v>163</v>
      </c>
      <c r="C540" s="1" t="s">
        <v>14</v>
      </c>
      <c r="F540" s="3" t="s">
        <v>26</v>
      </c>
      <c r="H540" s="3" t="s">
        <v>242</v>
      </c>
      <c r="J540" s="3" t="s">
        <v>224</v>
      </c>
      <c r="N540" s="3">
        <v>26380.0</v>
      </c>
      <c r="P540" s="4" t="str">
        <f t="shared" si="46"/>
        <v>#VALUE!</v>
      </c>
      <c r="Q540" s="3">
        <v>28227.0</v>
      </c>
    </row>
    <row r="541">
      <c r="A541" s="3">
        <v>2025.0</v>
      </c>
      <c r="B541" s="3" t="s">
        <v>163</v>
      </c>
      <c r="C541" s="1" t="s">
        <v>14</v>
      </c>
      <c r="F541" s="3" t="s">
        <v>26</v>
      </c>
      <c r="H541" s="3" t="s">
        <v>242</v>
      </c>
      <c r="J541" s="3" t="s">
        <v>224</v>
      </c>
      <c r="N541" s="3">
        <v>25980.0</v>
      </c>
      <c r="P541" s="4" t="str">
        <f t="shared" si="46"/>
        <v>#VALUE!</v>
      </c>
      <c r="Q541" s="3">
        <v>21252.0</v>
      </c>
    </row>
    <row r="542">
      <c r="A542" s="3">
        <v>2025.0</v>
      </c>
      <c r="B542" s="3" t="s">
        <v>163</v>
      </c>
      <c r="C542" s="1" t="s">
        <v>14</v>
      </c>
      <c r="F542" s="3" t="s">
        <v>26</v>
      </c>
      <c r="H542" s="3" t="s">
        <v>240</v>
      </c>
      <c r="J542" s="13">
        <v>3125.0</v>
      </c>
      <c r="N542" s="3">
        <v>7980.0</v>
      </c>
      <c r="P542" s="4">
        <f t="shared" si="46"/>
        <v>24937.5</v>
      </c>
      <c r="T542" s="13"/>
    </row>
    <row r="543">
      <c r="A543" s="3">
        <v>2025.0</v>
      </c>
      <c r="B543" s="3" t="s">
        <v>163</v>
      </c>
      <c r="C543" s="1" t="s">
        <v>14</v>
      </c>
      <c r="F543" s="3" t="s">
        <v>26</v>
      </c>
      <c r="H543" s="3" t="s">
        <v>217</v>
      </c>
      <c r="J543" s="13">
        <v>2220.0</v>
      </c>
      <c r="N543" s="3">
        <v>1980.0</v>
      </c>
      <c r="P543" s="4">
        <f t="shared" si="46"/>
        <v>4395.6</v>
      </c>
      <c r="Q543" s="3">
        <v>3737.0</v>
      </c>
      <c r="T543" s="13"/>
    </row>
    <row r="544">
      <c r="A544" s="3">
        <v>2025.0</v>
      </c>
      <c r="B544" s="3" t="s">
        <v>163</v>
      </c>
      <c r="C544" s="1" t="s">
        <v>14</v>
      </c>
      <c r="F544" s="3" t="s">
        <v>26</v>
      </c>
      <c r="H544" s="3" t="s">
        <v>217</v>
      </c>
      <c r="J544" s="13">
        <v>895.0</v>
      </c>
      <c r="N544" s="3">
        <v>1980.0</v>
      </c>
      <c r="P544" s="4">
        <f t="shared" si="46"/>
        <v>1772.1</v>
      </c>
      <c r="Q544" s="3">
        <v>1506.0</v>
      </c>
      <c r="T544" s="13"/>
    </row>
    <row r="545">
      <c r="A545" s="3">
        <v>2025.0</v>
      </c>
      <c r="B545" s="3" t="s">
        <v>163</v>
      </c>
      <c r="C545" s="1" t="s">
        <v>14</v>
      </c>
      <c r="F545" s="3" t="s">
        <v>26</v>
      </c>
      <c r="H545" s="3" t="s">
        <v>226</v>
      </c>
      <c r="J545" s="13">
        <v>700.0</v>
      </c>
      <c r="N545" s="3">
        <v>5000.0</v>
      </c>
      <c r="P545" s="4">
        <f t="shared" si="46"/>
        <v>3500</v>
      </c>
      <c r="Q545" s="3">
        <v>2975.0</v>
      </c>
      <c r="T545" s="13"/>
    </row>
    <row r="546">
      <c r="A546" s="3">
        <v>2025.0</v>
      </c>
      <c r="B546" s="3" t="s">
        <v>163</v>
      </c>
      <c r="C546" s="1" t="s">
        <v>14</v>
      </c>
      <c r="F546" s="3" t="s">
        <v>26</v>
      </c>
      <c r="H546" s="3" t="s">
        <v>221</v>
      </c>
      <c r="J546" s="13">
        <v>1000.0</v>
      </c>
      <c r="N546" s="3">
        <v>1980.0</v>
      </c>
      <c r="P546" s="4">
        <f t="shared" si="46"/>
        <v>1980</v>
      </c>
      <c r="Q546" s="3">
        <v>1960.0</v>
      </c>
      <c r="T546" s="13"/>
    </row>
    <row r="547">
      <c r="A547" s="3">
        <v>2025.0</v>
      </c>
      <c r="B547" s="3" t="s">
        <v>163</v>
      </c>
      <c r="C547" s="1" t="s">
        <v>14</v>
      </c>
      <c r="F547" s="3" t="s">
        <v>26</v>
      </c>
      <c r="H547" s="3" t="s">
        <v>255</v>
      </c>
      <c r="J547" s="13">
        <v>2000.0</v>
      </c>
      <c r="N547" s="3">
        <v>3300.0</v>
      </c>
      <c r="P547" s="4">
        <f t="shared" si="46"/>
        <v>6600</v>
      </c>
      <c r="Q547" s="3">
        <v>6480.0</v>
      </c>
      <c r="T547" s="13"/>
    </row>
    <row r="548">
      <c r="A548" s="3">
        <v>2025.0</v>
      </c>
      <c r="B548" s="3" t="s">
        <v>163</v>
      </c>
      <c r="C548" s="1" t="s">
        <v>14</v>
      </c>
      <c r="F548" s="3" t="s">
        <v>26</v>
      </c>
      <c r="H548" s="3" t="s">
        <v>226</v>
      </c>
      <c r="J548" s="13">
        <v>1690.0</v>
      </c>
      <c r="N548" s="3">
        <v>5000.0</v>
      </c>
      <c r="P548" s="4">
        <f t="shared" si="46"/>
        <v>8450</v>
      </c>
      <c r="Q548" s="3">
        <v>7182.0</v>
      </c>
      <c r="T548" s="13"/>
    </row>
    <row r="549">
      <c r="A549" s="3">
        <v>2025.0</v>
      </c>
      <c r="B549" s="3" t="s">
        <v>163</v>
      </c>
      <c r="C549" s="1" t="s">
        <v>14</v>
      </c>
      <c r="F549" s="3" t="s">
        <v>26</v>
      </c>
      <c r="H549" s="3" t="s">
        <v>223</v>
      </c>
      <c r="J549" s="13">
        <v>315.0</v>
      </c>
      <c r="N549" s="3">
        <v>7800.0</v>
      </c>
      <c r="P549" s="4">
        <f t="shared" si="46"/>
        <v>2457</v>
      </c>
      <c r="Q549" s="3">
        <v>2088.0</v>
      </c>
      <c r="T549" s="13"/>
    </row>
    <row r="550">
      <c r="A550" s="3">
        <v>2025.0</v>
      </c>
      <c r="B550" s="3" t="s">
        <v>163</v>
      </c>
      <c r="C550" s="1" t="s">
        <v>14</v>
      </c>
      <c r="F550" s="3" t="s">
        <v>26</v>
      </c>
      <c r="H550" s="3" t="s">
        <v>256</v>
      </c>
      <c r="J550" s="13">
        <v>470.0</v>
      </c>
      <c r="N550" s="3">
        <v>3980.0</v>
      </c>
      <c r="P550" s="4">
        <f t="shared" si="46"/>
        <v>1870.6</v>
      </c>
      <c r="Q550" s="3">
        <v>1590.0</v>
      </c>
      <c r="T550" s="13"/>
    </row>
    <row r="551">
      <c r="A551" s="3">
        <v>2025.0</v>
      </c>
      <c r="B551" s="3" t="s">
        <v>163</v>
      </c>
      <c r="C551" s="1" t="s">
        <v>14</v>
      </c>
      <c r="F551" s="3" t="s">
        <v>26</v>
      </c>
      <c r="H551" s="3" t="s">
        <v>234</v>
      </c>
      <c r="L551" s="3">
        <v>1.0</v>
      </c>
      <c r="N551" s="3">
        <v>15990.0</v>
      </c>
      <c r="P551" s="4">
        <f t="shared" ref="P551:P552" si="47">N551*L551</f>
        <v>15990</v>
      </c>
    </row>
    <row r="552">
      <c r="A552" s="3">
        <v>2025.0</v>
      </c>
      <c r="B552" s="3" t="s">
        <v>163</v>
      </c>
      <c r="C552" s="1" t="s">
        <v>14</v>
      </c>
      <c r="F552" s="3" t="s">
        <v>26</v>
      </c>
      <c r="H552" s="3" t="s">
        <v>257</v>
      </c>
      <c r="L552" s="3">
        <v>1.0</v>
      </c>
      <c r="N552" s="3">
        <v>8850.0</v>
      </c>
      <c r="P552" s="4">
        <f t="shared" si="47"/>
        <v>8850</v>
      </c>
    </row>
    <row r="553">
      <c r="A553" s="5" t="s">
        <v>12</v>
      </c>
      <c r="F553" s="6"/>
      <c r="G553" s="6"/>
      <c r="H553" s="6"/>
      <c r="I553" s="6"/>
      <c r="J553" s="6"/>
      <c r="K553" s="6"/>
      <c r="L553" s="6"/>
      <c r="M553" s="6"/>
      <c r="N553" s="6"/>
      <c r="O553" s="10" t="str">
        <f>CHANGE(P500,P553)</f>
        <v>#NAME?</v>
      </c>
      <c r="P553" s="7" t="str">
        <f>SUM(P522:P552)</f>
        <v>#VALUE!</v>
      </c>
      <c r="Q553" s="3">
        <v>342624.0</v>
      </c>
    </row>
    <row r="554">
      <c r="A554" s="3">
        <v>2025.0</v>
      </c>
      <c r="B554" s="3" t="s">
        <v>163</v>
      </c>
      <c r="C554" s="1" t="s">
        <v>109</v>
      </c>
      <c r="F554" s="3" t="s">
        <v>26</v>
      </c>
      <c r="H554" s="3" t="s">
        <v>258</v>
      </c>
      <c r="J554" s="13">
        <v>986.0</v>
      </c>
      <c r="N554" s="3">
        <v>26380.0</v>
      </c>
      <c r="P554" s="4">
        <f t="shared" ref="P554:P560" si="48">N554*J554/1000</f>
        <v>26010.68</v>
      </c>
      <c r="T554" s="13"/>
    </row>
    <row r="555">
      <c r="A555" s="3">
        <v>2025.0</v>
      </c>
      <c r="B555" s="3" t="s">
        <v>163</v>
      </c>
      <c r="C555" s="1" t="s">
        <v>109</v>
      </c>
      <c r="F555" s="3" t="s">
        <v>26</v>
      </c>
      <c r="H555" s="3" t="s">
        <v>259</v>
      </c>
      <c r="J555" s="13">
        <v>1098.0</v>
      </c>
      <c r="N555" s="3">
        <v>8580.0</v>
      </c>
      <c r="P555" s="4">
        <f t="shared" si="48"/>
        <v>9420.84</v>
      </c>
      <c r="T555" s="13"/>
    </row>
    <row r="556">
      <c r="A556" s="3">
        <v>2025.0</v>
      </c>
      <c r="B556" s="3" t="s">
        <v>163</v>
      </c>
      <c r="C556" s="1" t="s">
        <v>109</v>
      </c>
      <c r="F556" s="3" t="s">
        <v>26</v>
      </c>
      <c r="H556" s="3" t="s">
        <v>260</v>
      </c>
      <c r="J556" s="13">
        <v>768.0</v>
      </c>
      <c r="N556" s="3">
        <v>17800.0</v>
      </c>
      <c r="P556" s="4">
        <f t="shared" si="48"/>
        <v>13670.4</v>
      </c>
      <c r="T556" s="13"/>
    </row>
    <row r="557">
      <c r="A557" s="3">
        <v>2025.0</v>
      </c>
      <c r="B557" s="3" t="s">
        <v>163</v>
      </c>
      <c r="C557" s="1" t="s">
        <v>109</v>
      </c>
      <c r="F557" s="3" t="s">
        <v>26</v>
      </c>
      <c r="H557" s="3" t="s">
        <v>261</v>
      </c>
      <c r="J557" s="13">
        <v>742.0</v>
      </c>
      <c r="N557" s="3">
        <v>26380.0</v>
      </c>
      <c r="P557" s="4">
        <f t="shared" si="48"/>
        <v>19573.96</v>
      </c>
      <c r="T557" s="13"/>
    </row>
    <row r="558">
      <c r="A558" s="3">
        <v>2025.0</v>
      </c>
      <c r="B558" s="3" t="s">
        <v>163</v>
      </c>
      <c r="C558" s="1" t="s">
        <v>109</v>
      </c>
      <c r="F558" s="3" t="s">
        <v>26</v>
      </c>
      <c r="H558" s="3" t="s">
        <v>261</v>
      </c>
      <c r="J558" s="13">
        <v>1124.0</v>
      </c>
      <c r="N558" s="3">
        <v>26380.0</v>
      </c>
      <c r="P558" s="4">
        <f t="shared" si="48"/>
        <v>29651.12</v>
      </c>
      <c r="T558" s="13"/>
    </row>
    <row r="559">
      <c r="A559" s="3">
        <v>2025.0</v>
      </c>
      <c r="B559" s="3" t="s">
        <v>163</v>
      </c>
      <c r="C559" s="1" t="s">
        <v>109</v>
      </c>
      <c r="F559" s="3" t="s">
        <v>26</v>
      </c>
      <c r="H559" s="3" t="s">
        <v>262</v>
      </c>
      <c r="J559" s="13">
        <v>1250.0</v>
      </c>
      <c r="N559" s="3">
        <v>12980.0</v>
      </c>
      <c r="P559" s="4">
        <f t="shared" si="48"/>
        <v>16225</v>
      </c>
      <c r="T559" s="13"/>
    </row>
    <row r="560">
      <c r="A560" s="3">
        <v>2025.0</v>
      </c>
      <c r="B560" s="3" t="s">
        <v>163</v>
      </c>
      <c r="C560" s="1" t="s">
        <v>109</v>
      </c>
      <c r="F560" s="3" t="s">
        <v>26</v>
      </c>
      <c r="H560" s="3" t="s">
        <v>240</v>
      </c>
      <c r="J560" s="13">
        <v>3290.0</v>
      </c>
      <c r="N560" s="3">
        <v>7900.0</v>
      </c>
      <c r="P560" s="4">
        <f t="shared" si="48"/>
        <v>25991</v>
      </c>
      <c r="T560" s="13"/>
    </row>
    <row r="561">
      <c r="A561" s="3">
        <v>2025.0</v>
      </c>
      <c r="B561" s="3" t="s">
        <v>163</v>
      </c>
      <c r="C561" s="1" t="s">
        <v>109</v>
      </c>
      <c r="F561" s="3" t="s">
        <v>26</v>
      </c>
      <c r="H561" s="3" t="s">
        <v>263</v>
      </c>
      <c r="L561" s="13">
        <v>1.0</v>
      </c>
      <c r="N561" s="3">
        <v>20990.0</v>
      </c>
      <c r="P561" s="4">
        <f>N561*L561</f>
        <v>20990</v>
      </c>
      <c r="T561" s="13"/>
    </row>
    <row r="562">
      <c r="A562" s="3">
        <v>2025.0</v>
      </c>
      <c r="B562" s="3" t="s">
        <v>163</v>
      </c>
      <c r="C562" s="1" t="s">
        <v>109</v>
      </c>
      <c r="F562" s="3" t="s">
        <v>26</v>
      </c>
      <c r="H562" s="3" t="s">
        <v>256</v>
      </c>
      <c r="J562" s="13">
        <v>770.0</v>
      </c>
      <c r="N562" s="3">
        <v>4100.0</v>
      </c>
      <c r="P562" s="4">
        <f t="shared" ref="P562:P569" si="49">N562*J562/1000</f>
        <v>3157</v>
      </c>
      <c r="T562" s="13"/>
    </row>
    <row r="563">
      <c r="A563" s="3">
        <v>2025.0</v>
      </c>
      <c r="B563" s="3" t="s">
        <v>163</v>
      </c>
      <c r="C563" s="1" t="s">
        <v>109</v>
      </c>
      <c r="F563" s="3" t="s">
        <v>26</v>
      </c>
      <c r="H563" s="3" t="s">
        <v>264</v>
      </c>
      <c r="J563" s="13">
        <v>2290.0</v>
      </c>
      <c r="N563" s="3">
        <v>3200.0</v>
      </c>
      <c r="P563" s="4">
        <f t="shared" si="49"/>
        <v>7328</v>
      </c>
      <c r="T563" s="13"/>
    </row>
    <row r="564">
      <c r="A564" s="3">
        <v>2025.0</v>
      </c>
      <c r="B564" s="3" t="s">
        <v>163</v>
      </c>
      <c r="C564" s="1" t="s">
        <v>109</v>
      </c>
      <c r="F564" s="3" t="s">
        <v>26</v>
      </c>
      <c r="H564" s="3" t="s">
        <v>221</v>
      </c>
      <c r="J564" s="13">
        <v>1470.0</v>
      </c>
      <c r="N564" s="3">
        <v>9780.0</v>
      </c>
      <c r="P564" s="4">
        <f t="shared" si="49"/>
        <v>14376.6</v>
      </c>
      <c r="T564" s="13"/>
    </row>
    <row r="565">
      <c r="A565" s="3">
        <v>2025.0</v>
      </c>
      <c r="B565" s="3" t="s">
        <v>163</v>
      </c>
      <c r="C565" s="1" t="s">
        <v>109</v>
      </c>
      <c r="F565" s="3" t="s">
        <v>26</v>
      </c>
      <c r="H565" s="3" t="s">
        <v>253</v>
      </c>
      <c r="J565" s="13">
        <v>2850.0</v>
      </c>
      <c r="N565" s="3">
        <v>2300.0</v>
      </c>
      <c r="P565" s="4">
        <f t="shared" si="49"/>
        <v>6555</v>
      </c>
      <c r="T565" s="13"/>
    </row>
    <row r="566">
      <c r="A566" s="3">
        <v>2025.0</v>
      </c>
      <c r="B566" s="3" t="s">
        <v>163</v>
      </c>
      <c r="C566" s="1" t="s">
        <v>109</v>
      </c>
      <c r="F566" s="3" t="s">
        <v>26</v>
      </c>
      <c r="H566" s="3" t="s">
        <v>219</v>
      </c>
      <c r="J566" s="13">
        <v>550.0</v>
      </c>
      <c r="N566" s="3">
        <v>6900.0</v>
      </c>
      <c r="P566" s="4">
        <f t="shared" si="49"/>
        <v>3795</v>
      </c>
      <c r="T566" s="13"/>
    </row>
    <row r="567">
      <c r="A567" s="3">
        <v>2025.0</v>
      </c>
      <c r="B567" s="3" t="s">
        <v>163</v>
      </c>
      <c r="C567" s="1" t="s">
        <v>109</v>
      </c>
      <c r="F567" s="3" t="s">
        <v>26</v>
      </c>
      <c r="H567" s="3" t="s">
        <v>230</v>
      </c>
      <c r="J567" s="13">
        <v>470.0</v>
      </c>
      <c r="N567" s="3">
        <v>5100.0</v>
      </c>
      <c r="P567" s="4">
        <f t="shared" si="49"/>
        <v>2397</v>
      </c>
      <c r="T567" s="13"/>
    </row>
    <row r="568">
      <c r="A568" s="3">
        <v>2025.0</v>
      </c>
      <c r="B568" s="3" t="s">
        <v>163</v>
      </c>
      <c r="C568" s="1" t="s">
        <v>109</v>
      </c>
      <c r="F568" s="3" t="s">
        <v>26</v>
      </c>
      <c r="H568" s="3" t="s">
        <v>225</v>
      </c>
      <c r="J568" s="13">
        <v>700.0</v>
      </c>
      <c r="N568" s="3">
        <v>3500.0</v>
      </c>
      <c r="P568" s="4">
        <f t="shared" si="49"/>
        <v>2450</v>
      </c>
      <c r="T568" s="13"/>
    </row>
    <row r="569">
      <c r="A569" s="3">
        <v>2025.0</v>
      </c>
      <c r="B569" s="3" t="s">
        <v>163</v>
      </c>
      <c r="C569" s="1" t="s">
        <v>109</v>
      </c>
      <c r="F569" s="3" t="s">
        <v>26</v>
      </c>
      <c r="H569" s="3" t="s">
        <v>226</v>
      </c>
      <c r="J569" s="13">
        <v>2090.0</v>
      </c>
      <c r="N569" s="3">
        <v>6300.0</v>
      </c>
      <c r="P569" s="4">
        <f t="shared" si="49"/>
        <v>13167</v>
      </c>
      <c r="T569" s="13"/>
    </row>
    <row r="570">
      <c r="A570" s="3">
        <v>2025.0</v>
      </c>
      <c r="B570" s="3" t="s">
        <v>163</v>
      </c>
      <c r="C570" s="1" t="s">
        <v>109</v>
      </c>
      <c r="F570" s="3" t="s">
        <v>26</v>
      </c>
      <c r="H570" s="3" t="s">
        <v>265</v>
      </c>
      <c r="L570" s="13">
        <v>1.0</v>
      </c>
      <c r="N570" s="3">
        <v>10990.0</v>
      </c>
      <c r="P570" s="4">
        <f t="shared" ref="P570:P572" si="50">N570*L570</f>
        <v>10990</v>
      </c>
      <c r="T570" s="13"/>
    </row>
    <row r="571">
      <c r="A571" s="3">
        <v>2025.0</v>
      </c>
      <c r="B571" s="3" t="s">
        <v>163</v>
      </c>
      <c r="C571" s="1" t="s">
        <v>109</v>
      </c>
      <c r="F571" s="3" t="s">
        <v>26</v>
      </c>
      <c r="H571" s="3" t="s">
        <v>266</v>
      </c>
      <c r="L571" s="13">
        <v>1.0</v>
      </c>
      <c r="N571" s="3">
        <v>1990.0</v>
      </c>
      <c r="P571" s="4">
        <f t="shared" si="50"/>
        <v>1990</v>
      </c>
      <c r="T571" s="13"/>
    </row>
    <row r="572">
      <c r="A572" s="3">
        <v>2025.0</v>
      </c>
      <c r="B572" s="3" t="s">
        <v>163</v>
      </c>
      <c r="C572" s="1" t="s">
        <v>109</v>
      </c>
      <c r="F572" s="3" t="s">
        <v>26</v>
      </c>
      <c r="H572" s="3" t="s">
        <v>267</v>
      </c>
      <c r="L572" s="13">
        <v>1.0</v>
      </c>
      <c r="N572" s="3">
        <v>2750.0</v>
      </c>
      <c r="P572" s="4">
        <f t="shared" si="50"/>
        <v>2750</v>
      </c>
      <c r="T572" s="13"/>
    </row>
    <row r="573">
      <c r="A573" s="3">
        <v>2025.0</v>
      </c>
      <c r="B573" s="3" t="s">
        <v>163</v>
      </c>
      <c r="C573" s="1" t="s">
        <v>109</v>
      </c>
      <c r="F573" s="3" t="s">
        <v>26</v>
      </c>
      <c r="H573" s="3" t="s">
        <v>218</v>
      </c>
      <c r="J573" s="13">
        <v>2250.0</v>
      </c>
      <c r="N573" s="3">
        <v>3180.0</v>
      </c>
      <c r="P573" s="4">
        <f t="shared" ref="P573:P574" si="51">N573*J573/1000</f>
        <v>7155</v>
      </c>
      <c r="T573" s="13"/>
    </row>
    <row r="574">
      <c r="A574" s="3">
        <v>2025.0</v>
      </c>
      <c r="B574" s="3" t="s">
        <v>163</v>
      </c>
      <c r="C574" s="1" t="s">
        <v>109</v>
      </c>
      <c r="F574" s="3" t="s">
        <v>26</v>
      </c>
      <c r="H574" s="3" t="s">
        <v>216</v>
      </c>
      <c r="J574" s="13">
        <v>1410.0</v>
      </c>
      <c r="N574" s="3">
        <v>2380.0</v>
      </c>
      <c r="P574" s="4">
        <f t="shared" si="51"/>
        <v>3355.8</v>
      </c>
      <c r="T574" s="13"/>
    </row>
    <row r="575">
      <c r="A575" s="3">
        <v>2025.0</v>
      </c>
      <c r="B575" s="3" t="s">
        <v>163</v>
      </c>
      <c r="C575" s="1" t="s">
        <v>109</v>
      </c>
      <c r="F575" s="3" t="s">
        <v>26</v>
      </c>
      <c r="H575" s="3" t="s">
        <v>268</v>
      </c>
      <c r="L575" s="13">
        <v>1.0</v>
      </c>
      <c r="N575" s="3">
        <v>1990.0</v>
      </c>
      <c r="P575" s="4">
        <f t="shared" ref="P575:P581" si="52">N575*L575</f>
        <v>1990</v>
      </c>
      <c r="T575" s="13"/>
    </row>
    <row r="576">
      <c r="A576" s="3">
        <v>2025.0</v>
      </c>
      <c r="B576" s="3" t="s">
        <v>163</v>
      </c>
      <c r="C576" s="1" t="s">
        <v>109</v>
      </c>
      <c r="F576" s="3" t="s">
        <v>26</v>
      </c>
      <c r="H576" s="3" t="s">
        <v>236</v>
      </c>
      <c r="L576" s="13">
        <v>1.0</v>
      </c>
      <c r="N576" s="3">
        <v>4150.0</v>
      </c>
      <c r="P576" s="4">
        <f t="shared" si="52"/>
        <v>4150</v>
      </c>
      <c r="T576" s="13"/>
    </row>
    <row r="577">
      <c r="A577" s="3">
        <v>2025.0</v>
      </c>
      <c r="B577" s="3" t="s">
        <v>163</v>
      </c>
      <c r="C577" s="1" t="s">
        <v>109</v>
      </c>
      <c r="F577" s="3" t="s">
        <v>26</v>
      </c>
      <c r="H577" s="3" t="s">
        <v>235</v>
      </c>
      <c r="L577" s="13">
        <v>1.0</v>
      </c>
      <c r="N577" s="3">
        <v>3550.0</v>
      </c>
      <c r="P577" s="4">
        <f t="shared" si="52"/>
        <v>3550</v>
      </c>
      <c r="T577" s="13"/>
    </row>
    <row r="578">
      <c r="A578" s="3">
        <v>2025.0</v>
      </c>
      <c r="B578" s="3" t="s">
        <v>163</v>
      </c>
      <c r="C578" s="1" t="s">
        <v>109</v>
      </c>
      <c r="F578" s="3" t="s">
        <v>26</v>
      </c>
      <c r="H578" s="3" t="s">
        <v>234</v>
      </c>
      <c r="L578" s="13">
        <v>1.0</v>
      </c>
      <c r="N578" s="3">
        <v>15990.0</v>
      </c>
      <c r="P578" s="4">
        <f t="shared" si="52"/>
        <v>15990</v>
      </c>
      <c r="T578" s="13"/>
    </row>
    <row r="579">
      <c r="A579" s="3">
        <v>2025.0</v>
      </c>
      <c r="B579" s="3" t="s">
        <v>163</v>
      </c>
      <c r="C579" s="1" t="s">
        <v>109</v>
      </c>
      <c r="F579" s="3" t="s">
        <v>26</v>
      </c>
      <c r="H579" s="3" t="s">
        <v>232</v>
      </c>
      <c r="L579" s="13">
        <v>1.0</v>
      </c>
      <c r="N579" s="3">
        <v>1500.0</v>
      </c>
      <c r="P579" s="4">
        <f t="shared" si="52"/>
        <v>1500</v>
      </c>
      <c r="T579" s="13"/>
    </row>
    <row r="580">
      <c r="A580" s="3">
        <v>2025.0</v>
      </c>
      <c r="B580" s="3" t="s">
        <v>163</v>
      </c>
      <c r="C580" s="1" t="s">
        <v>109</v>
      </c>
      <c r="F580" s="3" t="s">
        <v>26</v>
      </c>
      <c r="H580" s="3" t="s">
        <v>269</v>
      </c>
      <c r="L580" s="13">
        <v>1.0</v>
      </c>
      <c r="N580" s="3">
        <v>6900.0</v>
      </c>
      <c r="P580" s="4">
        <f t="shared" si="52"/>
        <v>6900</v>
      </c>
      <c r="T580" s="13"/>
    </row>
    <row r="581">
      <c r="A581" s="3">
        <v>2025.0</v>
      </c>
      <c r="B581" s="3" t="s">
        <v>163</v>
      </c>
      <c r="C581" s="1" t="s">
        <v>109</v>
      </c>
      <c r="F581" s="3" t="s">
        <v>26</v>
      </c>
      <c r="H581" s="3" t="s">
        <v>270</v>
      </c>
      <c r="L581" s="13">
        <v>1.0</v>
      </c>
      <c r="N581" s="3">
        <v>6950.0</v>
      </c>
      <c r="P581" s="4">
        <f t="shared" si="52"/>
        <v>6950</v>
      </c>
      <c r="T581" s="13"/>
    </row>
    <row r="582">
      <c r="A582" s="5" t="s">
        <v>12</v>
      </c>
      <c r="F582" s="6"/>
      <c r="G582" s="6"/>
      <c r="H582" s="6"/>
      <c r="I582" s="6"/>
      <c r="J582" s="6"/>
      <c r="K582" s="6"/>
      <c r="L582" s="6"/>
      <c r="M582" s="6"/>
      <c r="N582" s="6"/>
      <c r="O582" s="10" t="str">
        <f>CHANGE(P529,P582)</f>
        <v>#NAME?</v>
      </c>
      <c r="P582" s="7">
        <f>SUM(P554:P581)</f>
        <v>282029.4</v>
      </c>
    </row>
    <row r="583">
      <c r="A583" s="3">
        <v>2025.0</v>
      </c>
      <c r="B583" s="3" t="s">
        <v>144</v>
      </c>
      <c r="C583" s="1" t="s">
        <v>14</v>
      </c>
      <c r="F583" s="3" t="s">
        <v>26</v>
      </c>
      <c r="H583" s="3" t="s">
        <v>271</v>
      </c>
      <c r="J583" s="13">
        <v>1158.0</v>
      </c>
      <c r="N583" s="3">
        <v>16980.0</v>
      </c>
      <c r="P583" s="4">
        <f t="shared" ref="P583:P610" si="53">N583*J583/1000</f>
        <v>19662.84</v>
      </c>
      <c r="S583" s="13"/>
    </row>
    <row r="584">
      <c r="A584" s="3">
        <v>2025.0</v>
      </c>
      <c r="B584" s="3" t="s">
        <v>144</v>
      </c>
      <c r="C584" s="1" t="s">
        <v>14</v>
      </c>
      <c r="F584" s="3" t="s">
        <v>26</v>
      </c>
      <c r="H584" s="3" t="s">
        <v>258</v>
      </c>
      <c r="J584" s="13">
        <v>1398.0</v>
      </c>
      <c r="N584" s="3">
        <v>26380.0</v>
      </c>
      <c r="P584" s="4">
        <f t="shared" si="53"/>
        <v>36879.24</v>
      </c>
      <c r="S584" s="13"/>
    </row>
    <row r="585">
      <c r="A585" s="3">
        <v>2025.0</v>
      </c>
      <c r="B585" s="3" t="s">
        <v>144</v>
      </c>
      <c r="C585" s="1" t="s">
        <v>14</v>
      </c>
      <c r="F585" s="3" t="s">
        <v>26</v>
      </c>
      <c r="H585" s="3" t="s">
        <v>260</v>
      </c>
      <c r="J585" s="13">
        <v>762.0</v>
      </c>
      <c r="N585" s="3">
        <v>17380.0</v>
      </c>
      <c r="P585" s="4">
        <f t="shared" si="53"/>
        <v>13243.56</v>
      </c>
      <c r="S585" s="13"/>
    </row>
    <row r="586">
      <c r="A586" s="3">
        <v>2025.0</v>
      </c>
      <c r="B586" s="3" t="s">
        <v>144</v>
      </c>
      <c r="C586" s="1" t="s">
        <v>14</v>
      </c>
      <c r="F586" s="3" t="s">
        <v>26</v>
      </c>
      <c r="H586" s="3" t="s">
        <v>258</v>
      </c>
      <c r="J586" s="13">
        <v>1140.0</v>
      </c>
      <c r="N586" s="3">
        <v>26380.0</v>
      </c>
      <c r="P586" s="4">
        <f t="shared" si="53"/>
        <v>30073.2</v>
      </c>
      <c r="S586" s="13"/>
    </row>
    <row r="587">
      <c r="A587" s="3">
        <v>2025.0</v>
      </c>
      <c r="B587" s="3" t="s">
        <v>144</v>
      </c>
      <c r="C587" s="1" t="s">
        <v>14</v>
      </c>
      <c r="F587" s="3" t="s">
        <v>26</v>
      </c>
      <c r="H587" s="3" t="s">
        <v>258</v>
      </c>
      <c r="J587" s="13">
        <v>506.0</v>
      </c>
      <c r="N587" s="3">
        <v>26380.0</v>
      </c>
      <c r="P587" s="4">
        <f t="shared" si="53"/>
        <v>13348.28</v>
      </c>
      <c r="S587" s="13"/>
    </row>
    <row r="588">
      <c r="A588" s="3">
        <v>2025.0</v>
      </c>
      <c r="B588" s="3" t="s">
        <v>144</v>
      </c>
      <c r="C588" s="1" t="s">
        <v>14</v>
      </c>
      <c r="F588" s="3" t="s">
        <v>26</v>
      </c>
      <c r="H588" s="3" t="s">
        <v>261</v>
      </c>
      <c r="J588" s="13">
        <v>786.0</v>
      </c>
      <c r="N588" s="3">
        <v>26980.0</v>
      </c>
      <c r="P588" s="4">
        <f t="shared" si="53"/>
        <v>21206.28</v>
      </c>
      <c r="S588" s="13"/>
    </row>
    <row r="589">
      <c r="A589" s="3">
        <v>2025.0</v>
      </c>
      <c r="B589" s="3" t="s">
        <v>144</v>
      </c>
      <c r="C589" s="1" t="s">
        <v>14</v>
      </c>
      <c r="F589" s="3" t="s">
        <v>26</v>
      </c>
      <c r="H589" s="3" t="s">
        <v>240</v>
      </c>
      <c r="J589" s="13">
        <v>3245.0</v>
      </c>
      <c r="N589" s="3">
        <v>7900.0</v>
      </c>
      <c r="P589" s="4">
        <f t="shared" si="53"/>
        <v>25635.5</v>
      </c>
      <c r="S589" s="13"/>
    </row>
    <row r="590">
      <c r="A590" s="3">
        <v>2025.0</v>
      </c>
      <c r="B590" s="3" t="s">
        <v>144</v>
      </c>
      <c r="C590" s="1" t="s">
        <v>14</v>
      </c>
      <c r="F590" s="3" t="s">
        <v>26</v>
      </c>
      <c r="H590" s="3" t="s">
        <v>272</v>
      </c>
      <c r="J590" s="13">
        <v>1370.0</v>
      </c>
      <c r="N590" s="3">
        <v>12580.0</v>
      </c>
      <c r="P590" s="4">
        <f t="shared" si="53"/>
        <v>17234.6</v>
      </c>
      <c r="S590" s="13"/>
    </row>
    <row r="591">
      <c r="A591" s="3">
        <v>2025.0</v>
      </c>
      <c r="B591" s="3" t="s">
        <v>144</v>
      </c>
      <c r="C591" s="1" t="s">
        <v>14</v>
      </c>
      <c r="F591" s="3" t="s">
        <v>26</v>
      </c>
      <c r="H591" s="3" t="s">
        <v>253</v>
      </c>
      <c r="J591" s="13">
        <v>2270.0</v>
      </c>
      <c r="N591" s="3">
        <v>1780.0</v>
      </c>
      <c r="P591" s="4">
        <f t="shared" si="53"/>
        <v>4040.6</v>
      </c>
      <c r="S591" s="13"/>
    </row>
    <row r="592">
      <c r="A592" s="3">
        <v>2025.0</v>
      </c>
      <c r="B592" s="3" t="s">
        <v>144</v>
      </c>
      <c r="C592" s="1" t="s">
        <v>14</v>
      </c>
      <c r="F592" s="3" t="s">
        <v>26</v>
      </c>
      <c r="H592" s="3" t="s">
        <v>264</v>
      </c>
      <c r="J592" s="13">
        <v>1094.0</v>
      </c>
      <c r="N592" s="3">
        <v>3200.0</v>
      </c>
      <c r="P592" s="4">
        <f t="shared" si="53"/>
        <v>3500.8</v>
      </c>
      <c r="S592" s="13"/>
    </row>
    <row r="593">
      <c r="A593" s="3">
        <v>2025.0</v>
      </c>
      <c r="B593" s="3" t="s">
        <v>144</v>
      </c>
      <c r="C593" s="1" t="s">
        <v>14</v>
      </c>
      <c r="F593" s="3" t="s">
        <v>26</v>
      </c>
      <c r="H593" s="3" t="s">
        <v>264</v>
      </c>
      <c r="J593" s="13">
        <v>2274.0</v>
      </c>
      <c r="N593" s="3">
        <v>3200.0</v>
      </c>
      <c r="P593" s="4">
        <f t="shared" si="53"/>
        <v>7276.8</v>
      </c>
      <c r="S593" s="13"/>
    </row>
    <row r="594">
      <c r="A594" s="3">
        <v>2025.0</v>
      </c>
      <c r="B594" s="3" t="s">
        <v>144</v>
      </c>
      <c r="C594" s="1" t="s">
        <v>14</v>
      </c>
      <c r="F594" s="3" t="s">
        <v>26</v>
      </c>
      <c r="H594" s="3" t="s">
        <v>226</v>
      </c>
      <c r="J594" s="13">
        <v>2702.0</v>
      </c>
      <c r="N594" s="3">
        <v>6300.0</v>
      </c>
      <c r="P594" s="4">
        <f t="shared" si="53"/>
        <v>17022.6</v>
      </c>
      <c r="S594" s="13"/>
    </row>
    <row r="595">
      <c r="A595" s="3">
        <v>2025.0</v>
      </c>
      <c r="B595" s="3" t="s">
        <v>144</v>
      </c>
      <c r="C595" s="1" t="s">
        <v>14</v>
      </c>
      <c r="F595" s="3" t="s">
        <v>26</v>
      </c>
      <c r="H595" s="3" t="s">
        <v>273</v>
      </c>
      <c r="J595" s="13">
        <v>1772.0</v>
      </c>
      <c r="N595" s="3">
        <v>4200.0</v>
      </c>
      <c r="P595" s="4">
        <f t="shared" si="53"/>
        <v>7442.4</v>
      </c>
      <c r="S595" s="13"/>
    </row>
    <row r="596">
      <c r="A596" s="3">
        <v>2025.0</v>
      </c>
      <c r="B596" s="3" t="s">
        <v>144</v>
      </c>
      <c r="C596" s="1" t="s">
        <v>14</v>
      </c>
      <c r="F596" s="3" t="s">
        <v>26</v>
      </c>
      <c r="H596" s="3" t="s">
        <v>218</v>
      </c>
      <c r="J596" s="13">
        <v>1880.0</v>
      </c>
      <c r="N596" s="3">
        <v>3100.0</v>
      </c>
      <c r="P596" s="4">
        <f t="shared" si="53"/>
        <v>5828</v>
      </c>
      <c r="S596" s="13"/>
    </row>
    <row r="597">
      <c r="A597" s="3">
        <v>2025.0</v>
      </c>
      <c r="B597" s="3" t="s">
        <v>144</v>
      </c>
      <c r="C597" s="1" t="s">
        <v>14</v>
      </c>
      <c r="F597" s="3" t="s">
        <v>26</v>
      </c>
      <c r="H597" s="3" t="s">
        <v>227</v>
      </c>
      <c r="J597" s="13">
        <v>1368.0</v>
      </c>
      <c r="N597" s="3">
        <v>1800.0</v>
      </c>
      <c r="P597" s="4">
        <f t="shared" si="53"/>
        <v>2462.4</v>
      </c>
      <c r="S597" s="13"/>
    </row>
    <row r="598">
      <c r="A598" s="3">
        <v>2025.0</v>
      </c>
      <c r="B598" s="3" t="s">
        <v>144</v>
      </c>
      <c r="C598" s="1" t="s">
        <v>14</v>
      </c>
      <c r="F598" s="3" t="s">
        <v>26</v>
      </c>
      <c r="H598" s="3" t="s">
        <v>227</v>
      </c>
      <c r="J598" s="13">
        <v>1342.0</v>
      </c>
      <c r="N598" s="3">
        <v>1800.0</v>
      </c>
      <c r="P598" s="4">
        <f t="shared" si="53"/>
        <v>2415.6</v>
      </c>
      <c r="S598" s="13"/>
    </row>
    <row r="599">
      <c r="A599" s="3">
        <v>2025.0</v>
      </c>
      <c r="B599" s="3" t="s">
        <v>144</v>
      </c>
      <c r="C599" s="1" t="s">
        <v>14</v>
      </c>
      <c r="F599" s="3" t="s">
        <v>26</v>
      </c>
      <c r="H599" s="3" t="s">
        <v>228</v>
      </c>
      <c r="J599" s="13">
        <v>2406.0</v>
      </c>
      <c r="N599" s="3">
        <v>1980.0</v>
      </c>
      <c r="P599" s="4">
        <f t="shared" si="53"/>
        <v>4763.88</v>
      </c>
      <c r="S599" s="13"/>
    </row>
    <row r="600">
      <c r="A600" s="3">
        <v>2025.0</v>
      </c>
      <c r="B600" s="3" t="s">
        <v>144</v>
      </c>
      <c r="C600" s="1" t="s">
        <v>14</v>
      </c>
      <c r="F600" s="3" t="s">
        <v>26</v>
      </c>
      <c r="H600" s="3" t="s">
        <v>223</v>
      </c>
      <c r="J600" s="13">
        <v>834.0</v>
      </c>
      <c r="N600" s="3">
        <v>8200.0</v>
      </c>
      <c r="P600" s="4">
        <f t="shared" si="53"/>
        <v>6838.8</v>
      </c>
      <c r="S600" s="13"/>
    </row>
    <row r="601">
      <c r="A601" s="3">
        <v>2025.0</v>
      </c>
      <c r="B601" s="3" t="s">
        <v>144</v>
      </c>
      <c r="C601" s="1" t="s">
        <v>14</v>
      </c>
      <c r="F601" s="3" t="s">
        <v>26</v>
      </c>
      <c r="H601" s="3" t="s">
        <v>219</v>
      </c>
      <c r="J601" s="13">
        <v>628.0</v>
      </c>
      <c r="N601" s="3">
        <v>6180.0</v>
      </c>
      <c r="P601" s="4">
        <f t="shared" si="53"/>
        <v>3881.04</v>
      </c>
      <c r="S601" s="13"/>
    </row>
    <row r="602">
      <c r="A602" s="3">
        <v>2025.0</v>
      </c>
      <c r="B602" s="3" t="s">
        <v>144</v>
      </c>
      <c r="C602" s="1" t="s">
        <v>14</v>
      </c>
      <c r="F602" s="3" t="s">
        <v>26</v>
      </c>
      <c r="H602" s="3" t="s">
        <v>230</v>
      </c>
      <c r="J602" s="13">
        <v>632.0</v>
      </c>
      <c r="N602" s="3">
        <v>3700.0</v>
      </c>
      <c r="P602" s="4">
        <f t="shared" si="53"/>
        <v>2338.4</v>
      </c>
      <c r="S602" s="13"/>
    </row>
    <row r="603">
      <c r="A603" s="3">
        <v>2025.0</v>
      </c>
      <c r="B603" s="3" t="s">
        <v>144</v>
      </c>
      <c r="C603" s="1" t="s">
        <v>14</v>
      </c>
      <c r="F603" s="3" t="s">
        <v>26</v>
      </c>
      <c r="H603" s="3" t="s">
        <v>230</v>
      </c>
      <c r="J603" s="13">
        <v>578.0</v>
      </c>
      <c r="N603" s="3">
        <v>3700.0</v>
      </c>
      <c r="P603" s="4">
        <f t="shared" si="53"/>
        <v>2138.6</v>
      </c>
      <c r="S603" s="13"/>
    </row>
    <row r="604">
      <c r="A604" s="3">
        <v>2025.0</v>
      </c>
      <c r="B604" s="3" t="s">
        <v>144</v>
      </c>
      <c r="C604" s="1" t="s">
        <v>14</v>
      </c>
      <c r="F604" s="3" t="s">
        <v>26</v>
      </c>
      <c r="H604" s="3" t="s">
        <v>229</v>
      </c>
      <c r="J604" s="13">
        <v>790.0</v>
      </c>
      <c r="N604" s="3">
        <v>4000.0</v>
      </c>
      <c r="P604" s="4">
        <f t="shared" si="53"/>
        <v>3160</v>
      </c>
      <c r="S604" s="13"/>
    </row>
    <row r="605">
      <c r="A605" s="3">
        <v>2025.0</v>
      </c>
      <c r="B605" s="3" t="s">
        <v>144</v>
      </c>
      <c r="C605" s="1" t="s">
        <v>14</v>
      </c>
      <c r="F605" s="3" t="s">
        <v>26</v>
      </c>
      <c r="H605" s="3" t="s">
        <v>274</v>
      </c>
      <c r="J605" s="13">
        <v>1296.0</v>
      </c>
      <c r="N605" s="3">
        <v>2380.0</v>
      </c>
      <c r="P605" s="4">
        <f t="shared" si="53"/>
        <v>3084.48</v>
      </c>
      <c r="S605" s="13"/>
    </row>
    <row r="606">
      <c r="A606" s="3">
        <v>2025.0</v>
      </c>
      <c r="B606" s="3" t="s">
        <v>144</v>
      </c>
      <c r="C606" s="1" t="s">
        <v>14</v>
      </c>
      <c r="F606" s="3" t="s">
        <v>26</v>
      </c>
      <c r="H606" s="3" t="s">
        <v>216</v>
      </c>
      <c r="J606" s="13">
        <v>1222.0</v>
      </c>
      <c r="N606" s="3">
        <v>3100.0</v>
      </c>
      <c r="P606" s="4">
        <f t="shared" si="53"/>
        <v>3788.2</v>
      </c>
      <c r="S606" s="13"/>
    </row>
    <row r="607">
      <c r="A607" s="3">
        <v>2025.0</v>
      </c>
      <c r="B607" s="3" t="s">
        <v>144</v>
      </c>
      <c r="C607" s="1" t="s">
        <v>14</v>
      </c>
      <c r="F607" s="3" t="s">
        <v>26</v>
      </c>
      <c r="H607" s="3" t="s">
        <v>275</v>
      </c>
      <c r="J607" s="13">
        <v>1156.0</v>
      </c>
      <c r="N607" s="3">
        <v>4780.0</v>
      </c>
      <c r="P607" s="4">
        <f t="shared" si="53"/>
        <v>5525.68</v>
      </c>
      <c r="S607" s="13"/>
    </row>
    <row r="608">
      <c r="A608" s="3">
        <v>2025.0</v>
      </c>
      <c r="B608" s="3" t="s">
        <v>144</v>
      </c>
      <c r="C608" s="1" t="s">
        <v>14</v>
      </c>
      <c r="F608" s="3" t="s">
        <v>26</v>
      </c>
      <c r="H608" s="3" t="s">
        <v>256</v>
      </c>
      <c r="J608" s="13">
        <v>598.0</v>
      </c>
      <c r="N608" s="3">
        <v>4400.0</v>
      </c>
      <c r="P608" s="4">
        <f t="shared" si="53"/>
        <v>2631.2</v>
      </c>
      <c r="S608" s="13"/>
    </row>
    <row r="609">
      <c r="A609" s="3">
        <v>2025.0</v>
      </c>
      <c r="B609" s="3" t="s">
        <v>144</v>
      </c>
      <c r="C609" s="1" t="s">
        <v>14</v>
      </c>
      <c r="F609" s="3" t="s">
        <v>26</v>
      </c>
      <c r="H609" s="3" t="s">
        <v>276</v>
      </c>
      <c r="J609" s="13">
        <v>2124.0</v>
      </c>
      <c r="N609" s="3">
        <v>3000.0</v>
      </c>
      <c r="P609" s="4">
        <f t="shared" si="53"/>
        <v>6372</v>
      </c>
      <c r="S609" s="13"/>
    </row>
    <row r="610">
      <c r="A610" s="3">
        <v>2025.0</v>
      </c>
      <c r="B610" s="3" t="s">
        <v>144</v>
      </c>
      <c r="C610" s="1" t="s">
        <v>14</v>
      </c>
      <c r="F610" s="3" t="s">
        <v>26</v>
      </c>
      <c r="H610" s="3" t="s">
        <v>277</v>
      </c>
      <c r="J610" s="13">
        <v>354.0</v>
      </c>
      <c r="N610" s="3">
        <v>5600.0</v>
      </c>
      <c r="P610" s="4">
        <f t="shared" si="53"/>
        <v>1982.4</v>
      </c>
      <c r="S610" s="13"/>
    </row>
    <row r="611">
      <c r="A611" s="3">
        <v>2025.0</v>
      </c>
      <c r="B611" s="3" t="s">
        <v>144</v>
      </c>
      <c r="C611" s="1" t="s">
        <v>14</v>
      </c>
      <c r="F611" s="3" t="s">
        <v>26</v>
      </c>
      <c r="H611" s="3" t="s">
        <v>231</v>
      </c>
      <c r="L611" s="3">
        <v>1.0</v>
      </c>
      <c r="N611" s="3">
        <v>7200.0</v>
      </c>
      <c r="P611" s="4">
        <f t="shared" ref="P611:P616" si="54">N611*L611</f>
        <v>7200</v>
      </c>
    </row>
    <row r="612">
      <c r="A612" s="3">
        <v>2025.0</v>
      </c>
      <c r="B612" s="3" t="s">
        <v>144</v>
      </c>
      <c r="C612" s="1" t="s">
        <v>14</v>
      </c>
      <c r="F612" s="3" t="s">
        <v>26</v>
      </c>
      <c r="H612" s="3" t="s">
        <v>278</v>
      </c>
      <c r="L612" s="3">
        <v>1.0</v>
      </c>
      <c r="N612" s="3">
        <v>2990.0</v>
      </c>
      <c r="P612" s="4">
        <f t="shared" si="54"/>
        <v>2990</v>
      </c>
    </row>
    <row r="613">
      <c r="A613" s="3">
        <v>2025.0</v>
      </c>
      <c r="B613" s="3" t="s">
        <v>144</v>
      </c>
      <c r="C613" s="1" t="s">
        <v>14</v>
      </c>
      <c r="F613" s="3" t="s">
        <v>26</v>
      </c>
      <c r="H613" s="3" t="s">
        <v>236</v>
      </c>
      <c r="L613" s="3">
        <v>1.0</v>
      </c>
      <c r="N613" s="3">
        <v>4390.0</v>
      </c>
      <c r="P613" s="4">
        <f t="shared" si="54"/>
        <v>4390</v>
      </c>
    </row>
    <row r="614">
      <c r="A614" s="3">
        <v>2025.0</v>
      </c>
      <c r="B614" s="3" t="s">
        <v>144</v>
      </c>
      <c r="C614" s="1" t="s">
        <v>14</v>
      </c>
      <c r="F614" s="3" t="s">
        <v>26</v>
      </c>
      <c r="H614" s="3" t="s">
        <v>234</v>
      </c>
      <c r="L614" s="3">
        <v>1.0</v>
      </c>
      <c r="N614" s="3">
        <v>18550.0</v>
      </c>
      <c r="P614" s="4">
        <f t="shared" si="54"/>
        <v>18550</v>
      </c>
    </row>
    <row r="615">
      <c r="A615" s="3">
        <v>2025.0</v>
      </c>
      <c r="B615" s="3" t="s">
        <v>144</v>
      </c>
      <c r="C615" s="1" t="s">
        <v>14</v>
      </c>
      <c r="F615" s="3" t="s">
        <v>26</v>
      </c>
      <c r="H615" s="3" t="s">
        <v>250</v>
      </c>
      <c r="L615" s="3">
        <v>1.0</v>
      </c>
      <c r="N615" s="3">
        <v>3590.0</v>
      </c>
      <c r="P615" s="4">
        <f t="shared" si="54"/>
        <v>3590</v>
      </c>
    </row>
    <row r="616">
      <c r="A616" s="3">
        <v>2025.0</v>
      </c>
      <c r="B616" s="3" t="s">
        <v>144</v>
      </c>
      <c r="C616" s="1" t="s">
        <v>14</v>
      </c>
      <c r="F616" s="3" t="s">
        <v>26</v>
      </c>
      <c r="H616" s="3" t="s">
        <v>279</v>
      </c>
      <c r="L616" s="3">
        <v>1.0</v>
      </c>
      <c r="N616" s="3">
        <v>20990.0</v>
      </c>
      <c r="P616" s="4">
        <f t="shared" si="54"/>
        <v>20990</v>
      </c>
    </row>
    <row r="617">
      <c r="A617" s="5" t="s">
        <v>12</v>
      </c>
      <c r="F617" s="6"/>
      <c r="G617" s="6"/>
      <c r="H617" s="6"/>
      <c r="I617" s="6"/>
      <c r="J617" s="6"/>
      <c r="K617" s="6"/>
      <c r="L617" s="6"/>
      <c r="M617" s="6"/>
      <c r="N617" s="6"/>
      <c r="O617" s="10" t="str">
        <f>CHANGE(P564,P617)</f>
        <v>#NAME?</v>
      </c>
      <c r="P617" s="7">
        <f>SUM(P583:P616)</f>
        <v>331487.38</v>
      </c>
    </row>
    <row r="618">
      <c r="A618" s="3">
        <v>2025.0</v>
      </c>
      <c r="B618" s="3" t="s">
        <v>144</v>
      </c>
      <c r="C618" s="1" t="s">
        <v>109</v>
      </c>
      <c r="F618" s="3" t="s">
        <v>26</v>
      </c>
      <c r="H618" s="3" t="s">
        <v>258</v>
      </c>
      <c r="J618" s="13">
        <v>1300.0</v>
      </c>
      <c r="N618" s="3">
        <v>19700.0</v>
      </c>
      <c r="P618" s="4">
        <f t="shared" ref="P618:P623" si="55">N618*J618/1000</f>
        <v>25610</v>
      </c>
      <c r="S618" s="13"/>
    </row>
    <row r="619">
      <c r="A619" s="3">
        <v>2025.0</v>
      </c>
      <c r="B619" s="3" t="s">
        <v>144</v>
      </c>
      <c r="C619" s="1" t="s">
        <v>109</v>
      </c>
      <c r="F619" s="3" t="s">
        <v>26</v>
      </c>
      <c r="H619" s="3" t="s">
        <v>260</v>
      </c>
      <c r="J619" s="13">
        <v>650.0</v>
      </c>
      <c r="N619" s="3">
        <v>23980.0</v>
      </c>
      <c r="P619" s="4">
        <f t="shared" si="55"/>
        <v>15587</v>
      </c>
      <c r="S619" s="13"/>
    </row>
    <row r="620">
      <c r="A620" s="3">
        <v>2025.0</v>
      </c>
      <c r="B620" s="3" t="s">
        <v>144</v>
      </c>
      <c r="C620" s="1" t="s">
        <v>109</v>
      </c>
      <c r="F620" s="3" t="s">
        <v>26</v>
      </c>
      <c r="H620" s="3" t="s">
        <v>261</v>
      </c>
      <c r="J620" s="13">
        <v>690.0</v>
      </c>
      <c r="N620" s="3">
        <v>26980.0</v>
      </c>
      <c r="P620" s="4">
        <f t="shared" si="55"/>
        <v>18616.2</v>
      </c>
      <c r="S620" s="13"/>
    </row>
    <row r="621">
      <c r="A621" s="3">
        <v>2025.0</v>
      </c>
      <c r="B621" s="3" t="s">
        <v>144</v>
      </c>
      <c r="C621" s="1" t="s">
        <v>109</v>
      </c>
      <c r="F621" s="3" t="s">
        <v>26</v>
      </c>
      <c r="H621" s="3" t="s">
        <v>280</v>
      </c>
      <c r="J621" s="13">
        <v>1270.0</v>
      </c>
      <c r="N621" s="3">
        <v>31980.0</v>
      </c>
      <c r="P621" s="4">
        <f t="shared" si="55"/>
        <v>40614.6</v>
      </c>
      <c r="S621" s="13"/>
    </row>
    <row r="622">
      <c r="A622" s="3">
        <v>2025.0</v>
      </c>
      <c r="B622" s="3" t="s">
        <v>144</v>
      </c>
      <c r="C622" s="1" t="s">
        <v>109</v>
      </c>
      <c r="F622" s="3" t="s">
        <v>26</v>
      </c>
      <c r="H622" s="3" t="s">
        <v>281</v>
      </c>
      <c r="J622" s="13">
        <v>1250.0</v>
      </c>
      <c r="N622" s="3">
        <v>6300.0</v>
      </c>
      <c r="P622" s="4">
        <f t="shared" si="55"/>
        <v>7875</v>
      </c>
      <c r="S622" s="13"/>
    </row>
    <row r="623">
      <c r="A623" s="3">
        <v>2025.0</v>
      </c>
      <c r="B623" s="3" t="s">
        <v>144</v>
      </c>
      <c r="C623" s="1" t="s">
        <v>109</v>
      </c>
      <c r="F623" s="3" t="s">
        <v>26</v>
      </c>
      <c r="H623" s="3" t="s">
        <v>271</v>
      </c>
      <c r="J623" s="13">
        <v>1058.0</v>
      </c>
      <c r="N623" s="3">
        <v>16980.0</v>
      </c>
      <c r="P623" s="4">
        <f t="shared" si="55"/>
        <v>17964.84</v>
      </c>
      <c r="S623" s="13"/>
    </row>
    <row r="624">
      <c r="A624" s="3">
        <v>2025.0</v>
      </c>
      <c r="B624" s="3" t="s">
        <v>144</v>
      </c>
      <c r="C624" s="1" t="s">
        <v>109</v>
      </c>
      <c r="F624" s="3" t="s">
        <v>26</v>
      </c>
      <c r="H624" s="3" t="s">
        <v>282</v>
      </c>
      <c r="L624" s="3">
        <v>1.0</v>
      </c>
      <c r="N624" s="3">
        <v>27600.0</v>
      </c>
      <c r="P624" s="4">
        <f>N624*L624</f>
        <v>27600</v>
      </c>
    </row>
    <row r="625">
      <c r="A625" s="3">
        <v>2025.0</v>
      </c>
      <c r="B625" s="3" t="s">
        <v>144</v>
      </c>
      <c r="C625" s="1" t="s">
        <v>109</v>
      </c>
      <c r="F625" s="3" t="s">
        <v>26</v>
      </c>
      <c r="H625" s="3" t="s">
        <v>240</v>
      </c>
      <c r="J625" s="13">
        <v>3295.0</v>
      </c>
      <c r="N625" s="3">
        <v>7580.0</v>
      </c>
      <c r="P625" s="4">
        <f>N625*J625/1000</f>
        <v>24976.1</v>
      </c>
      <c r="S625" s="13"/>
    </row>
    <row r="626">
      <c r="A626" s="3">
        <v>2025.0</v>
      </c>
      <c r="B626" s="3" t="s">
        <v>144</v>
      </c>
      <c r="C626" s="1" t="s">
        <v>109</v>
      </c>
      <c r="F626" s="3" t="s">
        <v>26</v>
      </c>
      <c r="H626" s="3" t="s">
        <v>283</v>
      </c>
      <c r="L626" s="3">
        <v>1.0</v>
      </c>
      <c r="N626" s="3">
        <v>1800.0</v>
      </c>
      <c r="P626" s="4">
        <f>N626*L626</f>
        <v>1800</v>
      </c>
    </row>
    <row r="627">
      <c r="A627" s="3">
        <v>2025.0</v>
      </c>
      <c r="B627" s="3" t="s">
        <v>144</v>
      </c>
      <c r="C627" s="1" t="s">
        <v>109</v>
      </c>
      <c r="F627" s="3" t="s">
        <v>26</v>
      </c>
      <c r="H627" s="3" t="s">
        <v>264</v>
      </c>
      <c r="J627" s="13">
        <v>2370.0</v>
      </c>
      <c r="N627" s="3">
        <v>2780.0</v>
      </c>
      <c r="P627" s="4">
        <f t="shared" ref="P627:P646" si="56">N627*J627/1000</f>
        <v>6588.6</v>
      </c>
      <c r="S627" s="13"/>
    </row>
    <row r="628">
      <c r="A628" s="3">
        <v>2025.0</v>
      </c>
      <c r="B628" s="3" t="s">
        <v>144</v>
      </c>
      <c r="C628" s="1" t="s">
        <v>109</v>
      </c>
      <c r="F628" s="3" t="s">
        <v>26</v>
      </c>
      <c r="H628" s="3" t="s">
        <v>264</v>
      </c>
      <c r="J628" s="13">
        <v>1060.0</v>
      </c>
      <c r="N628" s="3">
        <v>2780.0</v>
      </c>
      <c r="P628" s="4">
        <f t="shared" si="56"/>
        <v>2946.8</v>
      </c>
      <c r="S628" s="13"/>
    </row>
    <row r="629">
      <c r="A629" s="3">
        <v>2025.0</v>
      </c>
      <c r="B629" s="3" t="s">
        <v>144</v>
      </c>
      <c r="C629" s="1" t="s">
        <v>109</v>
      </c>
      <c r="F629" s="3" t="s">
        <v>26</v>
      </c>
      <c r="H629" s="3" t="s">
        <v>225</v>
      </c>
      <c r="J629" s="13">
        <v>990.0</v>
      </c>
      <c r="N629" s="3">
        <v>2180.0</v>
      </c>
      <c r="P629" s="4">
        <f t="shared" si="56"/>
        <v>2158.2</v>
      </c>
      <c r="S629" s="13"/>
    </row>
    <row r="630">
      <c r="A630" s="3">
        <v>2025.0</v>
      </c>
      <c r="B630" s="3" t="s">
        <v>144</v>
      </c>
      <c r="C630" s="1" t="s">
        <v>109</v>
      </c>
      <c r="F630" s="3" t="s">
        <v>26</v>
      </c>
      <c r="H630" s="3" t="s">
        <v>284</v>
      </c>
      <c r="J630" s="13">
        <v>770.0</v>
      </c>
      <c r="N630" s="3">
        <v>4200.0</v>
      </c>
      <c r="P630" s="4">
        <f t="shared" si="56"/>
        <v>3234</v>
      </c>
      <c r="S630" s="13"/>
    </row>
    <row r="631">
      <c r="A631" s="3">
        <v>2025.0</v>
      </c>
      <c r="B631" s="3" t="s">
        <v>144</v>
      </c>
      <c r="C631" s="1" t="s">
        <v>109</v>
      </c>
      <c r="F631" s="3" t="s">
        <v>26</v>
      </c>
      <c r="H631" s="3" t="s">
        <v>253</v>
      </c>
      <c r="J631" s="13">
        <v>2540.0</v>
      </c>
      <c r="N631" s="3">
        <v>1780.0</v>
      </c>
      <c r="P631" s="4">
        <f t="shared" si="56"/>
        <v>4521.2</v>
      </c>
      <c r="S631" s="13"/>
    </row>
    <row r="632">
      <c r="A632" s="3">
        <v>2025.0</v>
      </c>
      <c r="B632" s="3" t="s">
        <v>144</v>
      </c>
      <c r="C632" s="1" t="s">
        <v>109</v>
      </c>
      <c r="F632" s="3" t="s">
        <v>26</v>
      </c>
      <c r="H632" s="3" t="s">
        <v>216</v>
      </c>
      <c r="J632" s="13">
        <v>1390.0</v>
      </c>
      <c r="N632" s="3">
        <v>3180.0</v>
      </c>
      <c r="P632" s="4">
        <f t="shared" si="56"/>
        <v>4420.2</v>
      </c>
      <c r="S632" s="13"/>
    </row>
    <row r="633">
      <c r="A633" s="3">
        <v>2025.0</v>
      </c>
      <c r="B633" s="3" t="s">
        <v>144</v>
      </c>
      <c r="C633" s="1" t="s">
        <v>109</v>
      </c>
      <c r="F633" s="3" t="s">
        <v>26</v>
      </c>
      <c r="H633" s="3" t="s">
        <v>285</v>
      </c>
      <c r="J633" s="13">
        <v>370.0</v>
      </c>
      <c r="N633" s="3">
        <v>3000.0</v>
      </c>
      <c r="P633" s="4">
        <f t="shared" si="56"/>
        <v>1110</v>
      </c>
      <c r="S633" s="13"/>
    </row>
    <row r="634">
      <c r="A634" s="3">
        <v>2025.0</v>
      </c>
      <c r="B634" s="3" t="s">
        <v>144</v>
      </c>
      <c r="C634" s="1" t="s">
        <v>109</v>
      </c>
      <c r="F634" s="3" t="s">
        <v>26</v>
      </c>
      <c r="H634" s="3" t="s">
        <v>218</v>
      </c>
      <c r="J634" s="13">
        <v>2270.0</v>
      </c>
      <c r="N634" s="3">
        <v>3100.0</v>
      </c>
      <c r="P634" s="4">
        <f t="shared" si="56"/>
        <v>7037</v>
      </c>
      <c r="S634" s="13"/>
    </row>
    <row r="635">
      <c r="A635" s="3">
        <v>2025.0</v>
      </c>
      <c r="B635" s="3" t="s">
        <v>144</v>
      </c>
      <c r="C635" s="1" t="s">
        <v>109</v>
      </c>
      <c r="F635" s="3" t="s">
        <v>26</v>
      </c>
      <c r="H635" s="3" t="s">
        <v>228</v>
      </c>
      <c r="J635" s="13">
        <v>690.0</v>
      </c>
      <c r="N635" s="3">
        <v>2580.0</v>
      </c>
      <c r="P635" s="4">
        <f t="shared" si="56"/>
        <v>1780.2</v>
      </c>
      <c r="S635" s="13"/>
    </row>
    <row r="636">
      <c r="A636" s="3">
        <v>2025.0</v>
      </c>
      <c r="B636" s="3" t="s">
        <v>144</v>
      </c>
      <c r="C636" s="1" t="s">
        <v>109</v>
      </c>
      <c r="F636" s="3" t="s">
        <v>26</v>
      </c>
      <c r="H636" s="3" t="s">
        <v>230</v>
      </c>
      <c r="J636" s="13">
        <v>1300.0</v>
      </c>
      <c r="N636" s="3">
        <v>4580.0</v>
      </c>
      <c r="P636" s="4">
        <f t="shared" si="56"/>
        <v>5954</v>
      </c>
      <c r="S636" s="13"/>
    </row>
    <row r="637">
      <c r="A637" s="3">
        <v>2025.0</v>
      </c>
      <c r="B637" s="3" t="s">
        <v>144</v>
      </c>
      <c r="C637" s="1" t="s">
        <v>109</v>
      </c>
      <c r="F637" s="3" t="s">
        <v>26</v>
      </c>
      <c r="H637" s="3" t="s">
        <v>227</v>
      </c>
      <c r="J637" s="13">
        <v>1050.0</v>
      </c>
      <c r="N637" s="3">
        <v>3180.0</v>
      </c>
      <c r="P637" s="4">
        <f t="shared" si="56"/>
        <v>3339</v>
      </c>
      <c r="S637" s="13"/>
    </row>
    <row r="638">
      <c r="A638" s="3">
        <v>2025.0</v>
      </c>
      <c r="B638" s="3" t="s">
        <v>144</v>
      </c>
      <c r="C638" s="1" t="s">
        <v>109</v>
      </c>
      <c r="F638" s="3" t="s">
        <v>26</v>
      </c>
      <c r="H638" s="3" t="s">
        <v>223</v>
      </c>
      <c r="J638" s="13">
        <v>560.0</v>
      </c>
      <c r="N638" s="3">
        <v>7180.0</v>
      </c>
      <c r="P638" s="4">
        <f t="shared" si="56"/>
        <v>4020.8</v>
      </c>
      <c r="S638" s="13"/>
    </row>
    <row r="639">
      <c r="A639" s="3">
        <v>2025.0</v>
      </c>
      <c r="B639" s="3" t="s">
        <v>144</v>
      </c>
      <c r="C639" s="1" t="s">
        <v>109</v>
      </c>
      <c r="F639" s="3" t="s">
        <v>26</v>
      </c>
      <c r="H639" s="3" t="s">
        <v>226</v>
      </c>
      <c r="J639" s="13">
        <v>3470.0</v>
      </c>
      <c r="N639" s="3">
        <v>6980.0</v>
      </c>
      <c r="P639" s="4">
        <f t="shared" si="56"/>
        <v>24220.6</v>
      </c>
      <c r="S639" s="13"/>
    </row>
    <row r="640">
      <c r="A640" s="3">
        <v>2025.0</v>
      </c>
      <c r="B640" s="3" t="s">
        <v>144</v>
      </c>
      <c r="C640" s="1" t="s">
        <v>109</v>
      </c>
      <c r="F640" s="3" t="s">
        <v>26</v>
      </c>
      <c r="H640" s="3" t="s">
        <v>256</v>
      </c>
      <c r="J640" s="13">
        <v>650.0</v>
      </c>
      <c r="N640" s="3">
        <v>3980.0</v>
      </c>
      <c r="P640" s="4">
        <f t="shared" si="56"/>
        <v>2587</v>
      </c>
      <c r="S640" s="13"/>
    </row>
    <row r="641">
      <c r="A641" s="3">
        <v>2025.0</v>
      </c>
      <c r="B641" s="3" t="s">
        <v>144</v>
      </c>
      <c r="C641" s="1" t="s">
        <v>109</v>
      </c>
      <c r="F641" s="3" t="s">
        <v>26</v>
      </c>
      <c r="H641" s="3" t="s">
        <v>220</v>
      </c>
      <c r="J641" s="13">
        <v>90.0</v>
      </c>
      <c r="N641" s="3">
        <v>11100.0</v>
      </c>
      <c r="P641" s="4">
        <f t="shared" si="56"/>
        <v>999</v>
      </c>
      <c r="S641" s="13"/>
    </row>
    <row r="642">
      <c r="A642" s="3">
        <v>2025.0</v>
      </c>
      <c r="B642" s="3" t="s">
        <v>144</v>
      </c>
      <c r="C642" s="1" t="s">
        <v>109</v>
      </c>
      <c r="F642" s="3" t="s">
        <v>26</v>
      </c>
      <c r="H642" s="3" t="s">
        <v>223</v>
      </c>
      <c r="J642" s="13">
        <v>280.0</v>
      </c>
      <c r="N642" s="3">
        <v>7180.0</v>
      </c>
      <c r="P642" s="4">
        <f t="shared" si="56"/>
        <v>2010.4</v>
      </c>
      <c r="S642" s="13"/>
    </row>
    <row r="643">
      <c r="A643" s="3">
        <v>2025.0</v>
      </c>
      <c r="B643" s="3" t="s">
        <v>144</v>
      </c>
      <c r="C643" s="1" t="s">
        <v>109</v>
      </c>
      <c r="F643" s="3" t="s">
        <v>26</v>
      </c>
      <c r="H643" s="3" t="s">
        <v>222</v>
      </c>
      <c r="J643" s="13">
        <v>530.0</v>
      </c>
      <c r="N643" s="3">
        <v>7680.0</v>
      </c>
      <c r="P643" s="4">
        <f t="shared" si="56"/>
        <v>4070.4</v>
      </c>
      <c r="S643" s="13"/>
    </row>
    <row r="644">
      <c r="A644" s="3">
        <v>2025.0</v>
      </c>
      <c r="B644" s="3" t="s">
        <v>144</v>
      </c>
      <c r="C644" s="1" t="s">
        <v>109</v>
      </c>
      <c r="F644" s="3" t="s">
        <v>26</v>
      </c>
      <c r="H644" s="3" t="s">
        <v>277</v>
      </c>
      <c r="J644" s="13">
        <v>230.0</v>
      </c>
      <c r="N644" s="3">
        <v>5600.0</v>
      </c>
      <c r="P644" s="4">
        <f t="shared" si="56"/>
        <v>1288</v>
      </c>
      <c r="S644" s="13"/>
    </row>
    <row r="645">
      <c r="A645" s="3">
        <v>2025.0</v>
      </c>
      <c r="B645" s="3" t="s">
        <v>144</v>
      </c>
      <c r="C645" s="1" t="s">
        <v>109</v>
      </c>
      <c r="F645" s="3" t="s">
        <v>26</v>
      </c>
      <c r="H645" s="3" t="s">
        <v>249</v>
      </c>
      <c r="J645" s="13">
        <v>1360.0</v>
      </c>
      <c r="N645" s="3">
        <v>3780.0</v>
      </c>
      <c r="P645" s="4">
        <f t="shared" si="56"/>
        <v>5140.8</v>
      </c>
      <c r="S645" s="13"/>
    </row>
    <row r="646">
      <c r="A646" s="3">
        <v>2025.0</v>
      </c>
      <c r="B646" s="3" t="s">
        <v>144</v>
      </c>
      <c r="C646" s="1" t="s">
        <v>109</v>
      </c>
      <c r="F646" s="3" t="s">
        <v>26</v>
      </c>
      <c r="H646" s="3" t="s">
        <v>227</v>
      </c>
      <c r="J646" s="13">
        <v>920.0</v>
      </c>
      <c r="N646" s="3">
        <v>3180.0</v>
      </c>
      <c r="P646" s="4">
        <f t="shared" si="56"/>
        <v>2925.6</v>
      </c>
      <c r="S646" s="13"/>
    </row>
    <row r="647">
      <c r="A647" s="3">
        <v>2025.0</v>
      </c>
      <c r="B647" s="3" t="s">
        <v>144</v>
      </c>
      <c r="C647" s="1" t="s">
        <v>109</v>
      </c>
      <c r="F647" s="3" t="s">
        <v>26</v>
      </c>
      <c r="H647" s="3" t="s">
        <v>234</v>
      </c>
      <c r="L647" s="3">
        <v>1.0</v>
      </c>
      <c r="N647" s="3">
        <v>19150.0</v>
      </c>
      <c r="P647" s="4">
        <f t="shared" ref="P647:P654" si="57">N647*L647</f>
        <v>19150</v>
      </c>
    </row>
    <row r="648">
      <c r="A648" s="3">
        <v>2025.0</v>
      </c>
      <c r="B648" s="3" t="s">
        <v>144</v>
      </c>
      <c r="C648" s="1" t="s">
        <v>109</v>
      </c>
      <c r="F648" s="3" t="s">
        <v>26</v>
      </c>
      <c r="H648" s="3" t="s">
        <v>231</v>
      </c>
      <c r="L648" s="3">
        <v>1.0</v>
      </c>
      <c r="N648" s="3">
        <v>7200.0</v>
      </c>
      <c r="P648" s="4">
        <f t="shared" si="57"/>
        <v>7200</v>
      </c>
    </row>
    <row r="649">
      <c r="A649" s="3">
        <v>2025.0</v>
      </c>
      <c r="B649" s="3" t="s">
        <v>144</v>
      </c>
      <c r="C649" s="1" t="s">
        <v>109</v>
      </c>
      <c r="F649" s="3" t="s">
        <v>26</v>
      </c>
      <c r="H649" s="3" t="s">
        <v>236</v>
      </c>
      <c r="L649" s="3">
        <v>1.0</v>
      </c>
      <c r="N649" s="3">
        <v>4390.0</v>
      </c>
      <c r="P649" s="4">
        <f t="shared" si="57"/>
        <v>4390</v>
      </c>
    </row>
    <row r="650">
      <c r="A650" s="3">
        <v>2025.0</v>
      </c>
      <c r="B650" s="3" t="s">
        <v>144</v>
      </c>
      <c r="C650" s="1" t="s">
        <v>109</v>
      </c>
      <c r="F650" s="3" t="s">
        <v>26</v>
      </c>
      <c r="H650" s="3" t="s">
        <v>268</v>
      </c>
      <c r="L650" s="3">
        <v>1.0</v>
      </c>
      <c r="N650" s="3">
        <v>1990.0</v>
      </c>
      <c r="P650" s="4">
        <f t="shared" si="57"/>
        <v>1990</v>
      </c>
    </row>
    <row r="651">
      <c r="A651" s="3">
        <v>2025.0</v>
      </c>
      <c r="B651" s="3" t="s">
        <v>144</v>
      </c>
      <c r="C651" s="1" t="s">
        <v>109</v>
      </c>
      <c r="F651" s="3" t="s">
        <v>26</v>
      </c>
      <c r="H651" s="3" t="s">
        <v>286</v>
      </c>
      <c r="L651" s="3">
        <v>1.0</v>
      </c>
      <c r="N651" s="3">
        <v>4500.0</v>
      </c>
      <c r="P651" s="4">
        <f t="shared" si="57"/>
        <v>4500</v>
      </c>
    </row>
    <row r="652">
      <c r="A652" s="3">
        <v>2025.0</v>
      </c>
      <c r="B652" s="3" t="s">
        <v>144</v>
      </c>
      <c r="C652" s="1" t="s">
        <v>109</v>
      </c>
      <c r="F652" s="3" t="s">
        <v>26</v>
      </c>
      <c r="H652" s="3" t="s">
        <v>287</v>
      </c>
      <c r="L652" s="3">
        <v>1.0</v>
      </c>
      <c r="N652" s="3">
        <v>9750.0</v>
      </c>
      <c r="P652" s="4">
        <f t="shared" si="57"/>
        <v>9750</v>
      </c>
    </row>
    <row r="653">
      <c r="A653" s="3">
        <v>2025.0</v>
      </c>
      <c r="B653" s="3" t="s">
        <v>144</v>
      </c>
      <c r="C653" s="1" t="s">
        <v>109</v>
      </c>
      <c r="F653" s="3" t="s">
        <v>26</v>
      </c>
      <c r="H653" s="3" t="s">
        <v>288</v>
      </c>
      <c r="L653" s="3">
        <v>1.0</v>
      </c>
      <c r="N653" s="3">
        <v>12990.0</v>
      </c>
      <c r="P653" s="4">
        <f t="shared" si="57"/>
        <v>12990</v>
      </c>
    </row>
    <row r="654">
      <c r="A654" s="3">
        <v>2025.0</v>
      </c>
      <c r="B654" s="3" t="s">
        <v>144</v>
      </c>
      <c r="C654" s="1" t="s">
        <v>109</v>
      </c>
      <c r="F654" s="3" t="s">
        <v>26</v>
      </c>
      <c r="H654" s="3" t="s">
        <v>251</v>
      </c>
      <c r="L654" s="3">
        <v>1.0</v>
      </c>
      <c r="N654" s="3">
        <v>3190.0</v>
      </c>
      <c r="P654" s="4">
        <f t="shared" si="57"/>
        <v>3190</v>
      </c>
    </row>
    <row r="655">
      <c r="A655" s="5" t="s">
        <v>12</v>
      </c>
      <c r="F655" s="6"/>
      <c r="G655" s="6"/>
      <c r="H655" s="6"/>
      <c r="I655" s="6"/>
      <c r="J655" s="6"/>
      <c r="K655" s="6"/>
      <c r="L655" s="6"/>
      <c r="M655" s="6"/>
      <c r="N655" s="6"/>
      <c r="O655" s="10" t="str">
        <f>CHANGE(P602,P655)</f>
        <v>#NAME?</v>
      </c>
      <c r="P655" s="7">
        <f>SUM(P618:P654)</f>
        <v>334155.54</v>
      </c>
    </row>
    <row r="656">
      <c r="A656" s="3">
        <v>2025.0</v>
      </c>
      <c r="B656" s="3" t="s">
        <v>141</v>
      </c>
      <c r="C656" s="1" t="s">
        <v>14</v>
      </c>
      <c r="F656" s="3" t="s">
        <v>26</v>
      </c>
      <c r="H656" s="3" t="s">
        <v>258</v>
      </c>
      <c r="J656" s="13">
        <v>1064.0</v>
      </c>
      <c r="N656" s="3">
        <v>19580.0</v>
      </c>
      <c r="P656" s="4">
        <f t="shared" ref="P656:P678" si="58">N656*J656/1000</f>
        <v>20833.12</v>
      </c>
    </row>
    <row r="657">
      <c r="A657" s="3">
        <v>2025.0</v>
      </c>
      <c r="B657" s="3" t="s">
        <v>141</v>
      </c>
      <c r="C657" s="1" t="s">
        <v>14</v>
      </c>
      <c r="F657" s="3" t="s">
        <v>26</v>
      </c>
      <c r="H657" s="3" t="s">
        <v>260</v>
      </c>
      <c r="J657" s="13">
        <v>850.0</v>
      </c>
      <c r="N657" s="3">
        <v>16700.0</v>
      </c>
      <c r="P657" s="4">
        <f t="shared" si="58"/>
        <v>14195</v>
      </c>
      <c r="S657" s="13"/>
    </row>
    <row r="658">
      <c r="A658" s="3">
        <v>2025.0</v>
      </c>
      <c r="B658" s="3" t="s">
        <v>141</v>
      </c>
      <c r="C658" s="1" t="s">
        <v>14</v>
      </c>
      <c r="F658" s="3" t="s">
        <v>26</v>
      </c>
      <c r="H658" s="3" t="s">
        <v>261</v>
      </c>
      <c r="J658" s="13">
        <v>768.0</v>
      </c>
      <c r="N658" s="3">
        <v>26980.0</v>
      </c>
      <c r="P658" s="4">
        <f t="shared" si="58"/>
        <v>20720.64</v>
      </c>
      <c r="S658" s="13"/>
    </row>
    <row r="659">
      <c r="A659" s="3">
        <v>2025.0</v>
      </c>
      <c r="B659" s="3" t="s">
        <v>141</v>
      </c>
      <c r="C659" s="1" t="s">
        <v>14</v>
      </c>
      <c r="F659" s="3" t="s">
        <v>26</v>
      </c>
      <c r="H659" s="3" t="s">
        <v>280</v>
      </c>
      <c r="J659" s="13">
        <v>1076.0</v>
      </c>
      <c r="N659" s="3">
        <v>32580.0</v>
      </c>
      <c r="P659" s="4">
        <f t="shared" si="58"/>
        <v>35056.08</v>
      </c>
      <c r="S659" s="13"/>
    </row>
    <row r="660">
      <c r="A660" s="3">
        <v>2025.0</v>
      </c>
      <c r="B660" s="3" t="s">
        <v>141</v>
      </c>
      <c r="C660" s="1" t="s">
        <v>14</v>
      </c>
      <c r="F660" s="3" t="s">
        <v>26</v>
      </c>
      <c r="H660" s="3" t="s">
        <v>261</v>
      </c>
      <c r="J660" s="13">
        <v>508.0</v>
      </c>
      <c r="N660" s="3">
        <v>26980.0</v>
      </c>
      <c r="P660" s="4">
        <f t="shared" si="58"/>
        <v>13705.84</v>
      </c>
      <c r="S660" s="13"/>
    </row>
    <row r="661">
      <c r="A661" s="3">
        <v>2025.0</v>
      </c>
      <c r="B661" s="3" t="s">
        <v>141</v>
      </c>
      <c r="C661" s="1" t="s">
        <v>14</v>
      </c>
      <c r="F661" s="3" t="s">
        <v>26</v>
      </c>
      <c r="H661" s="3" t="s">
        <v>259</v>
      </c>
      <c r="J661" s="13">
        <v>1044.0</v>
      </c>
      <c r="N661" s="3">
        <v>7980.0</v>
      </c>
      <c r="P661" s="4">
        <f t="shared" si="58"/>
        <v>8331.12</v>
      </c>
      <c r="S661" s="13"/>
    </row>
    <row r="662">
      <c r="A662" s="3">
        <v>2025.0</v>
      </c>
      <c r="B662" s="3" t="s">
        <v>141</v>
      </c>
      <c r="C662" s="1" t="s">
        <v>14</v>
      </c>
      <c r="F662" s="3" t="s">
        <v>26</v>
      </c>
      <c r="H662" s="3" t="s">
        <v>240</v>
      </c>
      <c r="J662" s="13">
        <v>2950.0</v>
      </c>
      <c r="N662" s="3">
        <v>10980.0</v>
      </c>
      <c r="P662" s="4">
        <f t="shared" si="58"/>
        <v>32391</v>
      </c>
      <c r="S662" s="13"/>
    </row>
    <row r="663">
      <c r="A663" s="3">
        <v>2025.0</v>
      </c>
      <c r="B663" s="3" t="s">
        <v>141</v>
      </c>
      <c r="C663" s="1" t="s">
        <v>14</v>
      </c>
      <c r="F663" s="3" t="s">
        <v>26</v>
      </c>
      <c r="H663" s="3" t="s">
        <v>272</v>
      </c>
      <c r="J663" s="13">
        <v>1505.0</v>
      </c>
      <c r="N663" s="3">
        <v>11980.0</v>
      </c>
      <c r="P663" s="4">
        <f t="shared" si="58"/>
        <v>18029.9</v>
      </c>
      <c r="S663" s="13"/>
    </row>
    <row r="664">
      <c r="A664" s="3">
        <v>2025.0</v>
      </c>
      <c r="B664" s="3" t="s">
        <v>141</v>
      </c>
      <c r="C664" s="1" t="s">
        <v>14</v>
      </c>
      <c r="F664" s="3" t="s">
        <v>26</v>
      </c>
      <c r="H664" s="3" t="s">
        <v>253</v>
      </c>
      <c r="J664" s="13">
        <v>2970.0</v>
      </c>
      <c r="N664" s="3">
        <v>1180.0</v>
      </c>
      <c r="P664" s="4">
        <f t="shared" si="58"/>
        <v>3504.6</v>
      </c>
      <c r="S664" s="13"/>
    </row>
    <row r="665">
      <c r="A665" s="3">
        <v>2025.0</v>
      </c>
      <c r="B665" s="3" t="s">
        <v>141</v>
      </c>
      <c r="C665" s="1" t="s">
        <v>14</v>
      </c>
      <c r="F665" s="3" t="s">
        <v>26</v>
      </c>
      <c r="H665" s="3" t="s">
        <v>264</v>
      </c>
      <c r="J665" s="13">
        <v>3720.0</v>
      </c>
      <c r="N665" s="3">
        <v>3780.0</v>
      </c>
      <c r="P665" s="4">
        <f t="shared" si="58"/>
        <v>14061.6</v>
      </c>
      <c r="S665" s="13"/>
    </row>
    <row r="666">
      <c r="A666" s="3">
        <v>2025.0</v>
      </c>
      <c r="B666" s="3" t="s">
        <v>141</v>
      </c>
      <c r="C666" s="1" t="s">
        <v>14</v>
      </c>
      <c r="F666" s="3" t="s">
        <v>26</v>
      </c>
      <c r="H666" s="3" t="s">
        <v>228</v>
      </c>
      <c r="J666" s="13">
        <v>2030.0</v>
      </c>
      <c r="N666" s="3">
        <v>3980.0</v>
      </c>
      <c r="P666" s="4">
        <f t="shared" si="58"/>
        <v>8079.4</v>
      </c>
      <c r="S666" s="13"/>
    </row>
    <row r="667">
      <c r="A667" s="3">
        <v>2025.0</v>
      </c>
      <c r="B667" s="3" t="s">
        <v>141</v>
      </c>
      <c r="C667" s="1" t="s">
        <v>14</v>
      </c>
      <c r="F667" s="3" t="s">
        <v>26</v>
      </c>
      <c r="H667" s="3" t="s">
        <v>223</v>
      </c>
      <c r="J667" s="13">
        <v>950.0</v>
      </c>
      <c r="N667" s="3">
        <v>8380.0</v>
      </c>
      <c r="P667" s="4">
        <f t="shared" si="58"/>
        <v>7961</v>
      </c>
      <c r="S667" s="13"/>
    </row>
    <row r="668">
      <c r="A668" s="3">
        <v>2025.0</v>
      </c>
      <c r="B668" s="3" t="s">
        <v>141</v>
      </c>
      <c r="C668" s="1" t="s">
        <v>14</v>
      </c>
      <c r="F668" s="3" t="s">
        <v>26</v>
      </c>
      <c r="H668" s="3" t="s">
        <v>289</v>
      </c>
      <c r="J668" s="13">
        <v>890.0</v>
      </c>
      <c r="N668" s="3">
        <v>3180.0</v>
      </c>
      <c r="P668" s="4">
        <f t="shared" si="58"/>
        <v>2830.2</v>
      </c>
      <c r="S668" s="13"/>
    </row>
    <row r="669">
      <c r="A669" s="3">
        <v>2025.0</v>
      </c>
      <c r="B669" s="3" t="s">
        <v>141</v>
      </c>
      <c r="C669" s="1" t="s">
        <v>14</v>
      </c>
      <c r="F669" s="3" t="s">
        <v>26</v>
      </c>
      <c r="H669" s="3" t="s">
        <v>218</v>
      </c>
      <c r="J669" s="13">
        <v>2440.0</v>
      </c>
      <c r="N669" s="3">
        <v>3180.0</v>
      </c>
      <c r="P669" s="4">
        <f t="shared" si="58"/>
        <v>7759.2</v>
      </c>
      <c r="S669" s="13"/>
    </row>
    <row r="670">
      <c r="A670" s="3">
        <v>2025.0</v>
      </c>
      <c r="B670" s="3" t="s">
        <v>141</v>
      </c>
      <c r="C670" s="1" t="s">
        <v>14</v>
      </c>
      <c r="F670" s="3" t="s">
        <v>26</v>
      </c>
      <c r="H670" s="3" t="s">
        <v>230</v>
      </c>
      <c r="J670" s="13">
        <v>530.0</v>
      </c>
      <c r="N670" s="3">
        <v>4180.0</v>
      </c>
      <c r="P670" s="4">
        <f t="shared" si="58"/>
        <v>2215.4</v>
      </c>
      <c r="S670" s="13"/>
    </row>
    <row r="671">
      <c r="A671" s="3">
        <v>2025.0</v>
      </c>
      <c r="B671" s="3" t="s">
        <v>141</v>
      </c>
      <c r="C671" s="1" t="s">
        <v>14</v>
      </c>
      <c r="F671" s="3" t="s">
        <v>26</v>
      </c>
      <c r="H671" s="3" t="s">
        <v>227</v>
      </c>
      <c r="J671" s="13">
        <v>1215.0</v>
      </c>
      <c r="N671" s="3">
        <v>1580.0</v>
      </c>
      <c r="P671" s="4">
        <f t="shared" si="58"/>
        <v>1919.7</v>
      </c>
      <c r="S671" s="13"/>
    </row>
    <row r="672">
      <c r="A672" s="3">
        <v>2025.0</v>
      </c>
      <c r="B672" s="3" t="s">
        <v>141</v>
      </c>
      <c r="C672" s="1" t="s">
        <v>14</v>
      </c>
      <c r="F672" s="3" t="s">
        <v>26</v>
      </c>
      <c r="H672" s="3" t="s">
        <v>219</v>
      </c>
      <c r="J672" s="13">
        <v>755.0</v>
      </c>
      <c r="N672" s="3">
        <v>2980.0</v>
      </c>
      <c r="P672" s="4">
        <f t="shared" si="58"/>
        <v>2249.9</v>
      </c>
      <c r="S672" s="13"/>
    </row>
    <row r="673">
      <c r="A673" s="3">
        <v>2025.0</v>
      </c>
      <c r="B673" s="3" t="s">
        <v>141</v>
      </c>
      <c r="C673" s="1" t="s">
        <v>14</v>
      </c>
      <c r="F673" s="3" t="s">
        <v>26</v>
      </c>
      <c r="H673" s="3" t="s">
        <v>230</v>
      </c>
      <c r="J673" s="13">
        <v>695.0</v>
      </c>
      <c r="N673" s="3">
        <v>4180.0</v>
      </c>
      <c r="P673" s="4">
        <f t="shared" si="58"/>
        <v>2905.1</v>
      </c>
      <c r="S673" s="13"/>
    </row>
    <row r="674">
      <c r="A674" s="3">
        <v>2025.0</v>
      </c>
      <c r="B674" s="3" t="s">
        <v>141</v>
      </c>
      <c r="C674" s="1" t="s">
        <v>14</v>
      </c>
      <c r="F674" s="3" t="s">
        <v>26</v>
      </c>
      <c r="H674" s="3" t="s">
        <v>216</v>
      </c>
      <c r="J674" s="13">
        <v>1040.0</v>
      </c>
      <c r="N674" s="3">
        <v>2780.0</v>
      </c>
      <c r="P674" s="4">
        <f t="shared" si="58"/>
        <v>2891.2</v>
      </c>
      <c r="S674" s="13"/>
    </row>
    <row r="675">
      <c r="A675" s="3">
        <v>2025.0</v>
      </c>
      <c r="B675" s="3" t="s">
        <v>141</v>
      </c>
      <c r="C675" s="1" t="s">
        <v>14</v>
      </c>
      <c r="F675" s="3" t="s">
        <v>26</v>
      </c>
      <c r="H675" s="3" t="s">
        <v>227</v>
      </c>
      <c r="J675" s="13">
        <v>1055.0</v>
      </c>
      <c r="N675" s="3">
        <v>1580.0</v>
      </c>
      <c r="P675" s="4">
        <f t="shared" si="58"/>
        <v>1666.9</v>
      </c>
      <c r="S675" s="13"/>
    </row>
    <row r="676">
      <c r="A676" s="3">
        <v>2025.0</v>
      </c>
      <c r="B676" s="3" t="s">
        <v>141</v>
      </c>
      <c r="C676" s="1" t="s">
        <v>14</v>
      </c>
      <c r="F676" s="3" t="s">
        <v>26</v>
      </c>
      <c r="H676" s="3" t="s">
        <v>290</v>
      </c>
      <c r="J676" s="13">
        <v>530.0</v>
      </c>
      <c r="N676" s="3">
        <v>5780.0</v>
      </c>
      <c r="P676" s="4">
        <f t="shared" si="58"/>
        <v>3063.4</v>
      </c>
      <c r="S676" s="13"/>
    </row>
    <row r="677">
      <c r="A677" s="3">
        <v>2025.0</v>
      </c>
      <c r="B677" s="3" t="s">
        <v>141</v>
      </c>
      <c r="C677" s="1" t="s">
        <v>14</v>
      </c>
      <c r="F677" s="3" t="s">
        <v>26</v>
      </c>
      <c r="H677" s="3" t="s">
        <v>277</v>
      </c>
      <c r="J677" s="13">
        <v>240.0</v>
      </c>
      <c r="N677" s="3">
        <v>5980.0</v>
      </c>
      <c r="P677" s="4">
        <f t="shared" si="58"/>
        <v>1435.2</v>
      </c>
      <c r="S677" s="13"/>
    </row>
    <row r="678">
      <c r="A678" s="3">
        <v>2025.0</v>
      </c>
      <c r="B678" s="3" t="s">
        <v>141</v>
      </c>
      <c r="C678" s="1" t="s">
        <v>14</v>
      </c>
      <c r="F678" s="3" t="s">
        <v>26</v>
      </c>
      <c r="H678" s="3" t="s">
        <v>226</v>
      </c>
      <c r="J678" s="13">
        <v>3340.0</v>
      </c>
      <c r="N678" s="3">
        <v>5780.0</v>
      </c>
      <c r="P678" s="4">
        <f t="shared" si="58"/>
        <v>19305.2</v>
      </c>
      <c r="S678" s="13"/>
    </row>
    <row r="679">
      <c r="A679" s="3">
        <v>2025.0</v>
      </c>
      <c r="B679" s="3" t="s">
        <v>141</v>
      </c>
      <c r="C679" s="1" t="s">
        <v>14</v>
      </c>
      <c r="F679" s="3" t="s">
        <v>26</v>
      </c>
      <c r="H679" s="3" t="s">
        <v>235</v>
      </c>
      <c r="L679" s="3">
        <v>1.0</v>
      </c>
      <c r="N679" s="3">
        <v>3550.0</v>
      </c>
      <c r="P679" s="4">
        <f t="shared" ref="P679:P687" si="59">N679*L679</f>
        <v>3550</v>
      </c>
      <c r="S679" s="13"/>
    </row>
    <row r="680">
      <c r="A680" s="3">
        <v>2025.0</v>
      </c>
      <c r="B680" s="3" t="s">
        <v>141</v>
      </c>
      <c r="C680" s="1" t="s">
        <v>14</v>
      </c>
      <c r="F680" s="3" t="s">
        <v>26</v>
      </c>
      <c r="H680" s="3" t="s">
        <v>266</v>
      </c>
      <c r="L680" s="3">
        <v>1.0</v>
      </c>
      <c r="N680" s="3">
        <v>1990.0</v>
      </c>
      <c r="P680" s="4">
        <f t="shared" si="59"/>
        <v>1990</v>
      </c>
    </row>
    <row r="681">
      <c r="A681" s="3">
        <v>2025.0</v>
      </c>
      <c r="B681" s="3" t="s">
        <v>141</v>
      </c>
      <c r="C681" s="1" t="s">
        <v>14</v>
      </c>
      <c r="F681" s="3" t="s">
        <v>26</v>
      </c>
      <c r="H681" s="3" t="s">
        <v>236</v>
      </c>
      <c r="L681" s="3">
        <v>1.0</v>
      </c>
      <c r="N681" s="3">
        <v>4390.0</v>
      </c>
      <c r="P681" s="4">
        <f t="shared" si="59"/>
        <v>4390</v>
      </c>
    </row>
    <row r="682">
      <c r="A682" s="3">
        <v>2025.0</v>
      </c>
      <c r="B682" s="3" t="s">
        <v>141</v>
      </c>
      <c r="C682" s="1" t="s">
        <v>14</v>
      </c>
      <c r="F682" s="3" t="s">
        <v>26</v>
      </c>
      <c r="H682" s="3" t="s">
        <v>268</v>
      </c>
      <c r="L682" s="3">
        <v>1.0</v>
      </c>
      <c r="N682" s="3">
        <v>1990.0</v>
      </c>
      <c r="P682" s="4">
        <f t="shared" si="59"/>
        <v>1990</v>
      </c>
    </row>
    <row r="683">
      <c r="A683" s="3">
        <v>2025.0</v>
      </c>
      <c r="B683" s="3" t="s">
        <v>141</v>
      </c>
      <c r="C683" s="1" t="s">
        <v>14</v>
      </c>
      <c r="F683" s="3" t="s">
        <v>26</v>
      </c>
      <c r="H683" s="3" t="s">
        <v>234</v>
      </c>
      <c r="L683" s="3">
        <v>1.0</v>
      </c>
      <c r="N683" s="3">
        <v>18750.0</v>
      </c>
      <c r="P683" s="4">
        <f t="shared" si="59"/>
        <v>18750</v>
      </c>
    </row>
    <row r="684">
      <c r="A684" s="3">
        <v>2025.0</v>
      </c>
      <c r="B684" s="3" t="s">
        <v>141</v>
      </c>
      <c r="C684" s="1" t="s">
        <v>14</v>
      </c>
      <c r="F684" s="3" t="s">
        <v>26</v>
      </c>
      <c r="H684" s="3" t="s">
        <v>231</v>
      </c>
      <c r="L684" s="3">
        <v>1.0</v>
      </c>
      <c r="N684" s="3">
        <v>7200.0</v>
      </c>
      <c r="P684" s="4">
        <f t="shared" si="59"/>
        <v>7200</v>
      </c>
    </row>
    <row r="685">
      <c r="A685" s="3">
        <v>2025.0</v>
      </c>
      <c r="B685" s="3" t="s">
        <v>141</v>
      </c>
      <c r="C685" s="1" t="s">
        <v>14</v>
      </c>
      <c r="F685" s="3" t="s">
        <v>26</v>
      </c>
      <c r="H685" s="3" t="s">
        <v>291</v>
      </c>
      <c r="L685" s="3">
        <v>1.0</v>
      </c>
      <c r="N685" s="3">
        <v>8850.0</v>
      </c>
      <c r="P685" s="4">
        <f t="shared" si="59"/>
        <v>8850</v>
      </c>
    </row>
    <row r="686">
      <c r="A686" s="3">
        <v>2025.0</v>
      </c>
      <c r="B686" s="3" t="s">
        <v>141</v>
      </c>
      <c r="C686" s="1" t="s">
        <v>14</v>
      </c>
      <c r="F686" s="3" t="s">
        <v>26</v>
      </c>
      <c r="H686" s="3" t="s">
        <v>292</v>
      </c>
      <c r="L686" s="3">
        <v>1.0</v>
      </c>
      <c r="N686" s="3">
        <v>22850.0</v>
      </c>
      <c r="P686" s="4">
        <f t="shared" si="59"/>
        <v>22850</v>
      </c>
    </row>
    <row r="687">
      <c r="A687" s="3">
        <v>2025.0</v>
      </c>
      <c r="B687" s="3" t="s">
        <v>141</v>
      </c>
      <c r="C687" s="1" t="s">
        <v>14</v>
      </c>
      <c r="F687" s="3" t="s">
        <v>26</v>
      </c>
      <c r="H687" s="3" t="s">
        <v>288</v>
      </c>
      <c r="L687" s="3">
        <v>1.0</v>
      </c>
      <c r="N687" s="3">
        <v>12950.0</v>
      </c>
      <c r="P687" s="4">
        <f t="shared" si="59"/>
        <v>12950</v>
      </c>
    </row>
    <row r="688">
      <c r="A688" s="5" t="s">
        <v>12</v>
      </c>
      <c r="F688" s="6"/>
      <c r="G688" s="6"/>
      <c r="H688" s="6"/>
      <c r="I688" s="6"/>
      <c r="J688" s="6"/>
      <c r="K688" s="6"/>
      <c r="L688" s="6"/>
      <c r="M688" s="6"/>
      <c r="N688" s="6"/>
      <c r="O688" s="10" t="str">
        <f>CHANGE(P635,P688)</f>
        <v>#NAME?</v>
      </c>
      <c r="P688" s="7">
        <f>SUM(P656:P687)</f>
        <v>327630.7</v>
      </c>
    </row>
    <row r="689">
      <c r="A689" s="3">
        <v>2025.0</v>
      </c>
      <c r="B689" s="3" t="s">
        <v>141</v>
      </c>
      <c r="C689" s="1" t="s">
        <v>109</v>
      </c>
      <c r="F689" s="3" t="s">
        <v>26</v>
      </c>
      <c r="H689" s="3" t="s">
        <v>290</v>
      </c>
      <c r="J689" s="13">
        <v>480.0</v>
      </c>
      <c r="N689" s="3">
        <v>4000.0</v>
      </c>
      <c r="P689" s="4">
        <f t="shared" ref="P689:P695" si="60">N689*J689/1000</f>
        <v>1920</v>
      </c>
      <c r="S689" s="13"/>
    </row>
    <row r="690">
      <c r="A690" s="3">
        <v>2025.0</v>
      </c>
      <c r="B690" s="3" t="s">
        <v>141</v>
      </c>
      <c r="C690" s="1" t="s">
        <v>109</v>
      </c>
      <c r="F690" s="3" t="s">
        <v>26</v>
      </c>
      <c r="H690" s="3" t="s">
        <v>219</v>
      </c>
      <c r="J690" s="13">
        <v>860.0</v>
      </c>
      <c r="N690" s="3">
        <v>4980.0</v>
      </c>
      <c r="P690" s="4">
        <f t="shared" si="60"/>
        <v>4282.8</v>
      </c>
      <c r="S690" s="13"/>
    </row>
    <row r="691">
      <c r="A691" s="3">
        <v>2025.0</v>
      </c>
      <c r="B691" s="3" t="s">
        <v>141</v>
      </c>
      <c r="C691" s="1" t="s">
        <v>109</v>
      </c>
      <c r="F691" s="3" t="s">
        <v>26</v>
      </c>
      <c r="H691" s="3" t="s">
        <v>226</v>
      </c>
      <c r="J691" s="13">
        <v>760.0</v>
      </c>
      <c r="N691" s="3">
        <v>5580.0</v>
      </c>
      <c r="P691" s="4">
        <f t="shared" si="60"/>
        <v>4240.8</v>
      </c>
      <c r="S691" s="13"/>
    </row>
    <row r="692">
      <c r="A692" s="3">
        <v>2025.0</v>
      </c>
      <c r="B692" s="3" t="s">
        <v>141</v>
      </c>
      <c r="C692" s="1" t="s">
        <v>109</v>
      </c>
      <c r="F692" s="3" t="s">
        <v>26</v>
      </c>
      <c r="H692" s="3" t="s">
        <v>289</v>
      </c>
      <c r="J692" s="13">
        <v>1030.0</v>
      </c>
      <c r="N692" s="3">
        <v>3300.0</v>
      </c>
      <c r="P692" s="4">
        <f t="shared" si="60"/>
        <v>3399</v>
      </c>
      <c r="S692" s="13"/>
    </row>
    <row r="693">
      <c r="A693" s="3">
        <v>2025.0</v>
      </c>
      <c r="B693" s="3" t="s">
        <v>141</v>
      </c>
      <c r="C693" s="1" t="s">
        <v>109</v>
      </c>
      <c r="F693" s="3" t="s">
        <v>26</v>
      </c>
      <c r="H693" s="3" t="s">
        <v>223</v>
      </c>
      <c r="J693" s="13">
        <v>370.0</v>
      </c>
      <c r="N693" s="3">
        <v>7580.0</v>
      </c>
      <c r="P693" s="4">
        <f t="shared" si="60"/>
        <v>2804.6</v>
      </c>
      <c r="S693" s="13"/>
    </row>
    <row r="694">
      <c r="A694" s="3">
        <v>2025.0</v>
      </c>
      <c r="B694" s="3" t="s">
        <v>141</v>
      </c>
      <c r="C694" s="1" t="s">
        <v>109</v>
      </c>
      <c r="F694" s="3" t="s">
        <v>26</v>
      </c>
      <c r="H694" s="3" t="s">
        <v>218</v>
      </c>
      <c r="J694" s="13">
        <v>2210.0</v>
      </c>
      <c r="N694" s="3">
        <v>2380.0</v>
      </c>
      <c r="P694" s="4">
        <f t="shared" si="60"/>
        <v>5259.8</v>
      </c>
      <c r="S694" s="13"/>
    </row>
    <row r="695">
      <c r="A695" s="3">
        <v>2025.0</v>
      </c>
      <c r="B695" s="3" t="s">
        <v>141</v>
      </c>
      <c r="C695" s="1" t="s">
        <v>109</v>
      </c>
      <c r="F695" s="3" t="s">
        <v>26</v>
      </c>
      <c r="H695" s="3" t="s">
        <v>277</v>
      </c>
      <c r="J695" s="13">
        <v>240.0</v>
      </c>
      <c r="N695" s="3">
        <v>5780.0</v>
      </c>
      <c r="P695" s="4">
        <f t="shared" si="60"/>
        <v>1387.2</v>
      </c>
      <c r="S695" s="13"/>
    </row>
    <row r="696">
      <c r="A696" s="3">
        <v>2025.0</v>
      </c>
      <c r="B696" s="3" t="s">
        <v>141</v>
      </c>
      <c r="C696" s="1" t="s">
        <v>109</v>
      </c>
      <c r="F696" s="3" t="s">
        <v>26</v>
      </c>
      <c r="H696" s="3" t="s">
        <v>293</v>
      </c>
      <c r="L696" s="3">
        <v>1.0</v>
      </c>
      <c r="N696" s="3">
        <v>8990.0</v>
      </c>
      <c r="P696" s="4">
        <f t="shared" ref="P696:P705" si="61">N696*L696</f>
        <v>8990</v>
      </c>
    </row>
    <row r="697">
      <c r="A697" s="3">
        <v>2025.0</v>
      </c>
      <c r="B697" s="3" t="s">
        <v>141</v>
      </c>
      <c r="C697" s="1" t="s">
        <v>109</v>
      </c>
      <c r="F697" s="3" t="s">
        <v>26</v>
      </c>
      <c r="H697" s="3" t="s">
        <v>294</v>
      </c>
      <c r="L697" s="3">
        <v>1.0</v>
      </c>
      <c r="N697" s="3">
        <v>2190.0</v>
      </c>
      <c r="P697" s="4">
        <f t="shared" si="61"/>
        <v>2190</v>
      </c>
    </row>
    <row r="698">
      <c r="A698" s="3">
        <v>2025.0</v>
      </c>
      <c r="B698" s="3" t="s">
        <v>141</v>
      </c>
      <c r="C698" s="1" t="s">
        <v>109</v>
      </c>
      <c r="F698" s="3" t="s">
        <v>26</v>
      </c>
      <c r="H698" s="3" t="s">
        <v>234</v>
      </c>
      <c r="L698" s="3">
        <v>1.0</v>
      </c>
      <c r="N698" s="3">
        <v>18500.0</v>
      </c>
      <c r="P698" s="4">
        <f t="shared" si="61"/>
        <v>18500</v>
      </c>
    </row>
    <row r="699">
      <c r="A699" s="3">
        <v>2025.0</v>
      </c>
      <c r="B699" s="3" t="s">
        <v>141</v>
      </c>
      <c r="C699" s="1" t="s">
        <v>109</v>
      </c>
      <c r="F699" s="3" t="s">
        <v>26</v>
      </c>
      <c r="H699" s="3" t="s">
        <v>236</v>
      </c>
      <c r="L699" s="3">
        <v>1.0</v>
      </c>
      <c r="N699" s="3">
        <v>4390.0</v>
      </c>
      <c r="P699" s="4">
        <f t="shared" si="61"/>
        <v>4390</v>
      </c>
    </row>
    <row r="700">
      <c r="A700" s="3">
        <v>2025.0</v>
      </c>
      <c r="B700" s="3" t="s">
        <v>141</v>
      </c>
      <c r="C700" s="1" t="s">
        <v>109</v>
      </c>
      <c r="F700" s="3" t="s">
        <v>26</v>
      </c>
      <c r="H700" s="3" t="s">
        <v>251</v>
      </c>
      <c r="L700" s="3">
        <v>1.0</v>
      </c>
      <c r="N700" s="3">
        <v>2890.0</v>
      </c>
      <c r="P700" s="4">
        <f t="shared" si="61"/>
        <v>2890</v>
      </c>
    </row>
    <row r="701">
      <c r="A701" s="3">
        <v>2025.0</v>
      </c>
      <c r="B701" s="3" t="s">
        <v>141</v>
      </c>
      <c r="C701" s="1" t="s">
        <v>109</v>
      </c>
      <c r="F701" s="3" t="s">
        <v>26</v>
      </c>
      <c r="H701" s="3" t="s">
        <v>250</v>
      </c>
      <c r="L701" s="3">
        <v>1.0</v>
      </c>
      <c r="N701" s="3">
        <v>3380.0</v>
      </c>
      <c r="P701" s="4">
        <f t="shared" si="61"/>
        <v>3380</v>
      </c>
    </row>
    <row r="702">
      <c r="A702" s="3">
        <v>2025.0</v>
      </c>
      <c r="B702" s="3" t="s">
        <v>141</v>
      </c>
      <c r="C702" s="1" t="s">
        <v>109</v>
      </c>
      <c r="F702" s="3" t="s">
        <v>26</v>
      </c>
      <c r="H702" s="3" t="s">
        <v>295</v>
      </c>
      <c r="L702" s="3">
        <v>1.0</v>
      </c>
      <c r="N702" s="3">
        <v>27500.0</v>
      </c>
      <c r="P702" s="4">
        <f t="shared" si="61"/>
        <v>27500</v>
      </c>
    </row>
    <row r="703">
      <c r="A703" s="3">
        <v>2025.0</v>
      </c>
      <c r="B703" s="3" t="s">
        <v>141</v>
      </c>
      <c r="C703" s="1" t="s">
        <v>109</v>
      </c>
      <c r="F703" s="3" t="s">
        <v>26</v>
      </c>
      <c r="H703" s="3" t="s">
        <v>231</v>
      </c>
      <c r="L703" s="3">
        <v>1.0</v>
      </c>
      <c r="N703" s="3">
        <v>7200.0</v>
      </c>
      <c r="P703" s="4">
        <f t="shared" si="61"/>
        <v>7200</v>
      </c>
    </row>
    <row r="704">
      <c r="A704" s="3">
        <v>2025.0</v>
      </c>
      <c r="B704" s="3" t="s">
        <v>141</v>
      </c>
      <c r="C704" s="1" t="s">
        <v>109</v>
      </c>
      <c r="F704" s="3" t="s">
        <v>26</v>
      </c>
      <c r="H704" s="3" t="s">
        <v>296</v>
      </c>
      <c r="L704" s="3">
        <v>1.0</v>
      </c>
      <c r="N704" s="3">
        <v>2650.0</v>
      </c>
      <c r="P704" s="4">
        <f t="shared" si="61"/>
        <v>2650</v>
      </c>
    </row>
    <row r="705">
      <c r="A705" s="3">
        <v>2025.0</v>
      </c>
      <c r="B705" s="3" t="s">
        <v>141</v>
      </c>
      <c r="C705" s="1" t="s">
        <v>109</v>
      </c>
      <c r="F705" s="3" t="s">
        <v>26</v>
      </c>
      <c r="H705" s="3" t="s">
        <v>232</v>
      </c>
      <c r="L705" s="3">
        <v>1.0</v>
      </c>
      <c r="N705" s="3">
        <v>1500.0</v>
      </c>
      <c r="P705" s="4">
        <f t="shared" si="61"/>
        <v>1500</v>
      </c>
    </row>
    <row r="706">
      <c r="A706" s="3">
        <v>2025.0</v>
      </c>
      <c r="B706" s="3" t="s">
        <v>141</v>
      </c>
      <c r="C706" s="1" t="s">
        <v>109</v>
      </c>
      <c r="F706" s="3" t="s">
        <v>26</v>
      </c>
      <c r="H706" s="3" t="s">
        <v>260</v>
      </c>
      <c r="J706" s="13">
        <v>772.0</v>
      </c>
      <c r="N706" s="3">
        <v>16780.0</v>
      </c>
      <c r="P706" s="4">
        <f t="shared" ref="P706:P722" si="62">N706*J706/1000</f>
        <v>12954.16</v>
      </c>
      <c r="S706" s="13"/>
    </row>
    <row r="707">
      <c r="A707" s="3">
        <v>2025.0</v>
      </c>
      <c r="B707" s="3" t="s">
        <v>141</v>
      </c>
      <c r="C707" s="1" t="s">
        <v>109</v>
      </c>
      <c r="F707" s="3" t="s">
        <v>26</v>
      </c>
      <c r="H707" s="3" t="s">
        <v>280</v>
      </c>
      <c r="J707" s="13">
        <v>838.0</v>
      </c>
      <c r="N707" s="3">
        <v>32580.0</v>
      </c>
      <c r="P707" s="4">
        <f t="shared" si="62"/>
        <v>27302.04</v>
      </c>
      <c r="S707" s="13"/>
    </row>
    <row r="708">
      <c r="A708" s="3">
        <v>2025.0</v>
      </c>
      <c r="B708" s="3" t="s">
        <v>141</v>
      </c>
      <c r="C708" s="1" t="s">
        <v>109</v>
      </c>
      <c r="F708" s="3" t="s">
        <v>26</v>
      </c>
      <c r="H708" s="3" t="s">
        <v>261</v>
      </c>
      <c r="J708" s="13">
        <v>1274.0</v>
      </c>
      <c r="N708" s="3">
        <v>26980.0</v>
      </c>
      <c r="P708" s="4">
        <f t="shared" si="62"/>
        <v>34372.52</v>
      </c>
      <c r="S708" s="13"/>
    </row>
    <row r="709">
      <c r="A709" s="3">
        <v>2025.0</v>
      </c>
      <c r="B709" s="3" t="s">
        <v>141</v>
      </c>
      <c r="C709" s="1" t="s">
        <v>109</v>
      </c>
      <c r="F709" s="3" t="s">
        <v>26</v>
      </c>
      <c r="H709" s="3" t="s">
        <v>297</v>
      </c>
      <c r="J709" s="13">
        <v>806.0</v>
      </c>
      <c r="N709" s="3">
        <v>18980.0</v>
      </c>
      <c r="P709" s="4">
        <f t="shared" si="62"/>
        <v>15297.88</v>
      </c>
      <c r="S709" s="13"/>
    </row>
    <row r="710">
      <c r="A710" s="3">
        <v>2025.0</v>
      </c>
      <c r="B710" s="3" t="s">
        <v>141</v>
      </c>
      <c r="C710" s="1" t="s">
        <v>109</v>
      </c>
      <c r="F710" s="3" t="s">
        <v>26</v>
      </c>
      <c r="H710" s="3" t="s">
        <v>258</v>
      </c>
      <c r="J710" s="13">
        <v>878.0</v>
      </c>
      <c r="N710" s="3">
        <v>26380.0</v>
      </c>
      <c r="P710" s="4">
        <f t="shared" si="62"/>
        <v>23161.64</v>
      </c>
      <c r="S710" s="13"/>
    </row>
    <row r="711">
      <c r="A711" s="3">
        <v>2025.0</v>
      </c>
      <c r="B711" s="3" t="s">
        <v>141</v>
      </c>
      <c r="C711" s="1" t="s">
        <v>109</v>
      </c>
      <c r="F711" s="3" t="s">
        <v>26</v>
      </c>
      <c r="H711" s="3" t="s">
        <v>271</v>
      </c>
      <c r="J711" s="13">
        <v>946.0</v>
      </c>
      <c r="N711" s="3">
        <v>16980.0</v>
      </c>
      <c r="P711" s="4">
        <f t="shared" si="62"/>
        <v>16063.08</v>
      </c>
      <c r="S711" s="13"/>
    </row>
    <row r="712">
      <c r="A712" s="3">
        <v>2025.0</v>
      </c>
      <c r="B712" s="3" t="s">
        <v>141</v>
      </c>
      <c r="C712" s="1" t="s">
        <v>109</v>
      </c>
      <c r="F712" s="3" t="s">
        <v>26</v>
      </c>
      <c r="H712" s="3" t="s">
        <v>240</v>
      </c>
      <c r="J712" s="13">
        <v>3310.0</v>
      </c>
      <c r="N712" s="3">
        <v>7900.0</v>
      </c>
      <c r="P712" s="4">
        <f t="shared" si="62"/>
        <v>26149</v>
      </c>
      <c r="S712" s="13"/>
    </row>
    <row r="713">
      <c r="A713" s="3">
        <v>2025.0</v>
      </c>
      <c r="B713" s="3" t="s">
        <v>141</v>
      </c>
      <c r="C713" s="1" t="s">
        <v>109</v>
      </c>
      <c r="F713" s="3" t="s">
        <v>26</v>
      </c>
      <c r="H713" s="3" t="s">
        <v>216</v>
      </c>
      <c r="J713" s="13">
        <v>1090.0</v>
      </c>
      <c r="N713" s="3">
        <v>2780.0</v>
      </c>
      <c r="P713" s="4">
        <f t="shared" si="62"/>
        <v>3030.2</v>
      </c>
      <c r="S713" s="13"/>
    </row>
    <row r="714">
      <c r="A714" s="3">
        <v>2025.0</v>
      </c>
      <c r="B714" s="3" t="s">
        <v>141</v>
      </c>
      <c r="C714" s="1" t="s">
        <v>109</v>
      </c>
      <c r="F714" s="3" t="s">
        <v>26</v>
      </c>
      <c r="H714" s="3" t="s">
        <v>227</v>
      </c>
      <c r="J714" s="13">
        <v>1170.0</v>
      </c>
      <c r="N714" s="3">
        <v>1980.0</v>
      </c>
      <c r="P714" s="4">
        <f t="shared" si="62"/>
        <v>2316.6</v>
      </c>
      <c r="S714" s="13"/>
    </row>
    <row r="715">
      <c r="A715" s="3">
        <v>2025.0</v>
      </c>
      <c r="B715" s="3" t="s">
        <v>141</v>
      </c>
      <c r="C715" s="1" t="s">
        <v>109</v>
      </c>
      <c r="F715" s="3" t="s">
        <v>26</v>
      </c>
      <c r="H715" s="3" t="s">
        <v>227</v>
      </c>
      <c r="J715" s="13">
        <v>550.0</v>
      </c>
      <c r="N715" s="3">
        <v>1980.0</v>
      </c>
      <c r="P715" s="4">
        <f t="shared" si="62"/>
        <v>1089</v>
      </c>
      <c r="S715" s="13"/>
    </row>
    <row r="716">
      <c r="A716" s="3">
        <v>2025.0</v>
      </c>
      <c r="B716" s="3" t="s">
        <v>141</v>
      </c>
      <c r="C716" s="1" t="s">
        <v>109</v>
      </c>
      <c r="F716" s="3" t="s">
        <v>26</v>
      </c>
      <c r="H716" s="3" t="s">
        <v>230</v>
      </c>
      <c r="J716" s="13">
        <v>1140.0</v>
      </c>
      <c r="N716" s="3">
        <v>4580.0</v>
      </c>
      <c r="P716" s="4">
        <f t="shared" si="62"/>
        <v>5221.2</v>
      </c>
      <c r="S716" s="13"/>
    </row>
    <row r="717">
      <c r="A717" s="3">
        <v>2025.0</v>
      </c>
      <c r="B717" s="3" t="s">
        <v>141</v>
      </c>
      <c r="C717" s="1" t="s">
        <v>109</v>
      </c>
      <c r="F717" s="3" t="s">
        <v>26</v>
      </c>
      <c r="H717" s="3" t="s">
        <v>228</v>
      </c>
      <c r="J717" s="13">
        <v>1030.0</v>
      </c>
      <c r="N717" s="3">
        <v>3980.0</v>
      </c>
      <c r="P717" s="4">
        <f t="shared" si="62"/>
        <v>4099.4</v>
      </c>
      <c r="S717" s="13"/>
    </row>
    <row r="718">
      <c r="A718" s="3">
        <v>2025.0</v>
      </c>
      <c r="B718" s="3" t="s">
        <v>141</v>
      </c>
      <c r="C718" s="1" t="s">
        <v>109</v>
      </c>
      <c r="F718" s="3" t="s">
        <v>26</v>
      </c>
      <c r="H718" s="3" t="s">
        <v>228</v>
      </c>
      <c r="J718" s="13">
        <v>850.0</v>
      </c>
      <c r="N718" s="3">
        <v>3980.0</v>
      </c>
      <c r="P718" s="4">
        <f t="shared" si="62"/>
        <v>3383</v>
      </c>
      <c r="S718" s="13"/>
    </row>
    <row r="719">
      <c r="A719" s="3">
        <v>2025.0</v>
      </c>
      <c r="B719" s="3" t="s">
        <v>141</v>
      </c>
      <c r="C719" s="1" t="s">
        <v>109</v>
      </c>
      <c r="F719" s="3" t="s">
        <v>26</v>
      </c>
      <c r="H719" s="3" t="s">
        <v>226</v>
      </c>
      <c r="J719" s="13">
        <v>2100.0</v>
      </c>
      <c r="N719" s="3">
        <v>5580.0</v>
      </c>
      <c r="P719" s="4">
        <f t="shared" si="62"/>
        <v>11718</v>
      </c>
      <c r="S719" s="13"/>
    </row>
    <row r="720">
      <c r="A720" s="3">
        <v>2025.0</v>
      </c>
      <c r="B720" s="3" t="s">
        <v>141</v>
      </c>
      <c r="C720" s="1" t="s">
        <v>109</v>
      </c>
      <c r="F720" s="3" t="s">
        <v>26</v>
      </c>
      <c r="H720" s="3" t="s">
        <v>253</v>
      </c>
      <c r="J720" s="13">
        <v>2480.0</v>
      </c>
      <c r="N720" s="3">
        <v>1380.0</v>
      </c>
      <c r="P720" s="4">
        <f t="shared" si="62"/>
        <v>3422.4</v>
      </c>
      <c r="S720" s="13"/>
    </row>
    <row r="721">
      <c r="A721" s="3">
        <v>2025.0</v>
      </c>
      <c r="B721" s="3" t="s">
        <v>141</v>
      </c>
      <c r="C721" s="1" t="s">
        <v>109</v>
      </c>
      <c r="F721" s="3" t="s">
        <v>26</v>
      </c>
      <c r="H721" s="3" t="s">
        <v>217</v>
      </c>
      <c r="J721" s="13">
        <v>960.0</v>
      </c>
      <c r="N721" s="3">
        <v>3780.0</v>
      </c>
      <c r="P721" s="4">
        <f t="shared" si="62"/>
        <v>3628.8</v>
      </c>
      <c r="S721" s="13"/>
    </row>
    <row r="722">
      <c r="A722" s="3">
        <v>2025.0</v>
      </c>
      <c r="B722" s="3" t="s">
        <v>141</v>
      </c>
      <c r="C722" s="1" t="s">
        <v>109</v>
      </c>
      <c r="F722" s="3" t="s">
        <v>26</v>
      </c>
      <c r="H722" s="3" t="s">
        <v>217</v>
      </c>
      <c r="J722" s="13">
        <v>2630.0</v>
      </c>
      <c r="N722" s="3">
        <v>3780.0</v>
      </c>
      <c r="P722" s="4">
        <f t="shared" si="62"/>
        <v>9941.4</v>
      </c>
      <c r="S722" s="13"/>
    </row>
    <row r="723">
      <c r="A723" s="5" t="s">
        <v>12</v>
      </c>
      <c r="F723" s="6"/>
      <c r="G723" s="6"/>
      <c r="H723" s="6"/>
      <c r="I723" s="6"/>
      <c r="J723" s="6"/>
      <c r="K723" s="6"/>
      <c r="L723" s="6"/>
      <c r="M723" s="6"/>
      <c r="N723" s="6"/>
      <c r="O723" s="10" t="str">
        <f>CHANGE(P670,P723)</f>
        <v>#NAME?</v>
      </c>
      <c r="P723" s="7">
        <f>SUM(P689:P722)</f>
        <v>305634.52</v>
      </c>
    </row>
    <row r="724">
      <c r="A724" s="3">
        <v>2025.0</v>
      </c>
      <c r="B724" s="3" t="s">
        <v>137</v>
      </c>
      <c r="C724" s="1" t="s">
        <v>14</v>
      </c>
      <c r="F724" s="3" t="s">
        <v>26</v>
      </c>
      <c r="H724" s="3" t="s">
        <v>295</v>
      </c>
      <c r="L724" s="3">
        <v>1.0</v>
      </c>
      <c r="N724" s="3">
        <v>20950.0</v>
      </c>
      <c r="P724" s="4">
        <f>N724*L724</f>
        <v>20950</v>
      </c>
    </row>
    <row r="725">
      <c r="A725" s="3">
        <v>2025.0</v>
      </c>
      <c r="B725" s="3" t="s">
        <v>137</v>
      </c>
      <c r="C725" s="1" t="s">
        <v>14</v>
      </c>
      <c r="F725" s="3" t="s">
        <v>26</v>
      </c>
      <c r="H725" s="3" t="s">
        <v>217</v>
      </c>
      <c r="J725" s="13">
        <v>1020.0</v>
      </c>
      <c r="N725" s="3">
        <v>1980.0</v>
      </c>
      <c r="P725" s="4">
        <f t="shared" ref="P725:P747" si="63">N725*J725/1000</f>
        <v>2019.6</v>
      </c>
      <c r="S725" s="13"/>
    </row>
    <row r="726">
      <c r="A726" s="3">
        <v>2025.0</v>
      </c>
      <c r="B726" s="3" t="s">
        <v>137</v>
      </c>
      <c r="C726" s="1" t="s">
        <v>14</v>
      </c>
      <c r="F726" s="3" t="s">
        <v>26</v>
      </c>
      <c r="H726" s="3" t="s">
        <v>217</v>
      </c>
      <c r="J726" s="13">
        <v>2545.0</v>
      </c>
      <c r="N726" s="3">
        <v>1980.0</v>
      </c>
      <c r="P726" s="4">
        <f t="shared" si="63"/>
        <v>5039.1</v>
      </c>
      <c r="S726" s="13"/>
    </row>
    <row r="727">
      <c r="A727" s="3">
        <v>2025.0</v>
      </c>
      <c r="B727" s="3" t="s">
        <v>137</v>
      </c>
      <c r="C727" s="1" t="s">
        <v>14</v>
      </c>
      <c r="F727" s="3" t="s">
        <v>26</v>
      </c>
      <c r="H727" s="3" t="s">
        <v>216</v>
      </c>
      <c r="J727" s="13">
        <v>1120.0</v>
      </c>
      <c r="N727" s="3">
        <v>2580.0</v>
      </c>
      <c r="P727" s="4">
        <f t="shared" si="63"/>
        <v>2889.6</v>
      </c>
      <c r="S727" s="13"/>
    </row>
    <row r="728">
      <c r="A728" s="3">
        <v>2025.0</v>
      </c>
      <c r="B728" s="3" t="s">
        <v>137</v>
      </c>
      <c r="C728" s="1" t="s">
        <v>14</v>
      </c>
      <c r="F728" s="3" t="s">
        <v>26</v>
      </c>
      <c r="H728" s="3" t="s">
        <v>226</v>
      </c>
      <c r="J728" s="13">
        <v>2455.0</v>
      </c>
      <c r="N728" s="3">
        <v>4580.0</v>
      </c>
      <c r="P728" s="4">
        <f t="shared" si="63"/>
        <v>11243.9</v>
      </c>
      <c r="S728" s="13"/>
    </row>
    <row r="729">
      <c r="A729" s="3">
        <v>2025.0</v>
      </c>
      <c r="B729" s="3" t="s">
        <v>137</v>
      </c>
      <c r="C729" s="1" t="s">
        <v>14</v>
      </c>
      <c r="F729" s="3" t="s">
        <v>26</v>
      </c>
      <c r="H729" s="3" t="s">
        <v>277</v>
      </c>
      <c r="J729" s="13">
        <v>255.0</v>
      </c>
      <c r="N729" s="3">
        <v>4980.0</v>
      </c>
      <c r="P729" s="4">
        <f t="shared" si="63"/>
        <v>1269.9</v>
      </c>
      <c r="S729" s="13"/>
    </row>
    <row r="730">
      <c r="A730" s="3">
        <v>2025.0</v>
      </c>
      <c r="B730" s="3" t="s">
        <v>137</v>
      </c>
      <c r="C730" s="1" t="s">
        <v>14</v>
      </c>
      <c r="F730" s="3" t="s">
        <v>26</v>
      </c>
      <c r="H730" s="3" t="s">
        <v>218</v>
      </c>
      <c r="J730" s="13">
        <v>3005.0</v>
      </c>
      <c r="N730" s="3">
        <v>2380.0</v>
      </c>
      <c r="P730" s="4">
        <f t="shared" si="63"/>
        <v>7151.9</v>
      </c>
      <c r="S730" s="13"/>
    </row>
    <row r="731">
      <c r="A731" s="3">
        <v>2025.0</v>
      </c>
      <c r="B731" s="3" t="s">
        <v>137</v>
      </c>
      <c r="C731" s="1" t="s">
        <v>14</v>
      </c>
      <c r="F731" s="3" t="s">
        <v>26</v>
      </c>
      <c r="H731" s="3" t="s">
        <v>240</v>
      </c>
      <c r="J731" s="13">
        <v>2622.0</v>
      </c>
      <c r="N731" s="3">
        <v>7980.0</v>
      </c>
      <c r="P731" s="4">
        <f t="shared" si="63"/>
        <v>20923.56</v>
      </c>
      <c r="S731" s="13"/>
    </row>
    <row r="732">
      <c r="A732" s="3">
        <v>2025.0</v>
      </c>
      <c r="B732" s="3" t="s">
        <v>137</v>
      </c>
      <c r="C732" s="1" t="s">
        <v>14</v>
      </c>
      <c r="F732" s="3" t="s">
        <v>26</v>
      </c>
      <c r="H732" s="3" t="s">
        <v>260</v>
      </c>
      <c r="J732" s="13">
        <v>790.0</v>
      </c>
      <c r="N732" s="3">
        <v>16780.0</v>
      </c>
      <c r="P732" s="4">
        <f t="shared" si="63"/>
        <v>13256.2</v>
      </c>
      <c r="S732" s="13"/>
    </row>
    <row r="733">
      <c r="A733" s="3">
        <v>2025.0</v>
      </c>
      <c r="B733" s="3" t="s">
        <v>137</v>
      </c>
      <c r="C733" s="1" t="s">
        <v>14</v>
      </c>
      <c r="F733" s="3" t="s">
        <v>26</v>
      </c>
      <c r="H733" s="3" t="s">
        <v>271</v>
      </c>
      <c r="J733" s="13">
        <v>976.0</v>
      </c>
      <c r="N733" s="3">
        <v>16580.0</v>
      </c>
      <c r="P733" s="4">
        <f t="shared" si="63"/>
        <v>16182.08</v>
      </c>
      <c r="S733" s="13"/>
    </row>
    <row r="734">
      <c r="A734" s="3">
        <v>2025.0</v>
      </c>
      <c r="B734" s="3" t="s">
        <v>137</v>
      </c>
      <c r="C734" s="1" t="s">
        <v>14</v>
      </c>
      <c r="F734" s="3" t="s">
        <v>26</v>
      </c>
      <c r="H734" s="3" t="s">
        <v>280</v>
      </c>
      <c r="J734" s="13">
        <v>968.0</v>
      </c>
      <c r="N734" s="3">
        <v>32580.0</v>
      </c>
      <c r="P734" s="4">
        <f t="shared" si="63"/>
        <v>31537.44</v>
      </c>
      <c r="S734" s="13"/>
    </row>
    <row r="735">
      <c r="A735" s="3">
        <v>2025.0</v>
      </c>
      <c r="B735" s="3" t="s">
        <v>137</v>
      </c>
      <c r="C735" s="1" t="s">
        <v>14</v>
      </c>
      <c r="F735" s="3" t="s">
        <v>26</v>
      </c>
      <c r="H735" s="3" t="s">
        <v>258</v>
      </c>
      <c r="J735" s="13">
        <v>986.0</v>
      </c>
      <c r="N735" s="3">
        <v>19980.0</v>
      </c>
      <c r="P735" s="4">
        <f t="shared" si="63"/>
        <v>19700.28</v>
      </c>
      <c r="S735" s="13"/>
    </row>
    <row r="736">
      <c r="A736" s="3">
        <v>2025.0</v>
      </c>
      <c r="B736" s="3" t="s">
        <v>137</v>
      </c>
      <c r="C736" s="1" t="s">
        <v>14</v>
      </c>
      <c r="F736" s="3" t="s">
        <v>26</v>
      </c>
      <c r="H736" s="3" t="s">
        <v>258</v>
      </c>
      <c r="J736" s="13">
        <v>1052.0</v>
      </c>
      <c r="N736" s="3">
        <v>19980.0</v>
      </c>
      <c r="P736" s="4">
        <f t="shared" si="63"/>
        <v>21018.96</v>
      </c>
      <c r="S736" s="13"/>
    </row>
    <row r="737">
      <c r="A737" s="3">
        <v>2025.0</v>
      </c>
      <c r="B737" s="3" t="s">
        <v>137</v>
      </c>
      <c r="C737" s="1" t="s">
        <v>14</v>
      </c>
      <c r="F737" s="3" t="s">
        <v>26</v>
      </c>
      <c r="H737" s="3" t="s">
        <v>240</v>
      </c>
      <c r="J737" s="13">
        <v>3220.0</v>
      </c>
      <c r="N737" s="3">
        <v>7980.0</v>
      </c>
      <c r="P737" s="4">
        <f t="shared" si="63"/>
        <v>25695.6</v>
      </c>
      <c r="S737" s="13"/>
    </row>
    <row r="738">
      <c r="A738" s="3">
        <v>2025.0</v>
      </c>
      <c r="B738" s="3" t="s">
        <v>137</v>
      </c>
      <c r="C738" s="1" t="s">
        <v>14</v>
      </c>
      <c r="F738" s="3" t="s">
        <v>26</v>
      </c>
      <c r="H738" s="3" t="s">
        <v>227</v>
      </c>
      <c r="J738" s="13">
        <v>865.0</v>
      </c>
      <c r="N738" s="3">
        <v>2380.0</v>
      </c>
      <c r="P738" s="4">
        <f t="shared" si="63"/>
        <v>2058.7</v>
      </c>
      <c r="S738" s="13"/>
    </row>
    <row r="739">
      <c r="A739" s="3">
        <v>2025.0</v>
      </c>
      <c r="B739" s="3" t="s">
        <v>137</v>
      </c>
      <c r="C739" s="1" t="s">
        <v>14</v>
      </c>
      <c r="F739" s="3" t="s">
        <v>26</v>
      </c>
      <c r="H739" s="3" t="s">
        <v>230</v>
      </c>
      <c r="J739" s="13">
        <v>635.0</v>
      </c>
      <c r="N739" s="3">
        <v>4380.0</v>
      </c>
      <c r="P739" s="4">
        <f t="shared" si="63"/>
        <v>2781.3</v>
      </c>
      <c r="S739" s="13"/>
    </row>
    <row r="740">
      <c r="A740" s="3">
        <v>2025.0</v>
      </c>
      <c r="B740" s="3" t="s">
        <v>137</v>
      </c>
      <c r="C740" s="1" t="s">
        <v>14</v>
      </c>
      <c r="F740" s="3" t="s">
        <v>26</v>
      </c>
      <c r="H740" s="3" t="s">
        <v>219</v>
      </c>
      <c r="J740" s="13">
        <v>720.0</v>
      </c>
      <c r="N740" s="3">
        <v>4180.0</v>
      </c>
      <c r="P740" s="4">
        <f t="shared" si="63"/>
        <v>3009.6</v>
      </c>
      <c r="S740" s="13"/>
    </row>
    <row r="741">
      <c r="A741" s="3">
        <v>2025.0</v>
      </c>
      <c r="B741" s="3" t="s">
        <v>137</v>
      </c>
      <c r="C741" s="1" t="s">
        <v>14</v>
      </c>
      <c r="F741" s="3" t="s">
        <v>26</v>
      </c>
      <c r="H741" s="3" t="s">
        <v>253</v>
      </c>
      <c r="J741" s="13">
        <v>2130.0</v>
      </c>
      <c r="N741" s="3">
        <v>1300.0</v>
      </c>
      <c r="P741" s="4">
        <f t="shared" si="63"/>
        <v>2769</v>
      </c>
      <c r="S741" s="13"/>
    </row>
    <row r="742">
      <c r="A742" s="3">
        <v>2025.0</v>
      </c>
      <c r="B742" s="3" t="s">
        <v>137</v>
      </c>
      <c r="C742" s="1" t="s">
        <v>14</v>
      </c>
      <c r="F742" s="3" t="s">
        <v>26</v>
      </c>
      <c r="H742" s="3" t="s">
        <v>228</v>
      </c>
      <c r="J742" s="13">
        <v>590.0</v>
      </c>
      <c r="N742" s="3">
        <v>4780.0</v>
      </c>
      <c r="P742" s="4">
        <f t="shared" si="63"/>
        <v>2820.2</v>
      </c>
      <c r="S742" s="13"/>
    </row>
    <row r="743">
      <c r="A743" s="3">
        <v>2025.0</v>
      </c>
      <c r="B743" s="3" t="s">
        <v>137</v>
      </c>
      <c r="C743" s="1" t="s">
        <v>14</v>
      </c>
      <c r="F743" s="3" t="s">
        <v>26</v>
      </c>
      <c r="H743" s="3" t="s">
        <v>226</v>
      </c>
      <c r="J743" s="13">
        <v>1015.0</v>
      </c>
      <c r="N743" s="3">
        <v>4580.0</v>
      </c>
      <c r="P743" s="4">
        <f t="shared" si="63"/>
        <v>4648.7</v>
      </c>
      <c r="S743" s="13"/>
    </row>
    <row r="744">
      <c r="A744" s="3">
        <v>2025.0</v>
      </c>
      <c r="B744" s="3" t="s">
        <v>137</v>
      </c>
      <c r="C744" s="1" t="s">
        <v>14</v>
      </c>
      <c r="F744" s="3" t="s">
        <v>26</v>
      </c>
      <c r="H744" s="3" t="s">
        <v>228</v>
      </c>
      <c r="J744" s="13">
        <v>755.0</v>
      </c>
      <c r="N744" s="3">
        <v>4780.0</v>
      </c>
      <c r="P744" s="4">
        <f t="shared" si="63"/>
        <v>3608.9</v>
      </c>
      <c r="S744" s="13"/>
    </row>
    <row r="745">
      <c r="A745" s="3">
        <v>2025.0</v>
      </c>
      <c r="B745" s="3" t="s">
        <v>137</v>
      </c>
      <c r="C745" s="1" t="s">
        <v>14</v>
      </c>
      <c r="F745" s="3" t="s">
        <v>26</v>
      </c>
      <c r="H745" s="3" t="s">
        <v>227</v>
      </c>
      <c r="J745" s="13">
        <v>1095.0</v>
      </c>
      <c r="N745" s="3">
        <v>2380.0</v>
      </c>
      <c r="P745" s="4">
        <f t="shared" si="63"/>
        <v>2606.1</v>
      </c>
      <c r="S745" s="13"/>
    </row>
    <row r="746">
      <c r="A746" s="3">
        <v>2025.0</v>
      </c>
      <c r="B746" s="3" t="s">
        <v>137</v>
      </c>
      <c r="C746" s="1" t="s">
        <v>14</v>
      </c>
      <c r="F746" s="3" t="s">
        <v>26</v>
      </c>
      <c r="H746" s="3" t="s">
        <v>230</v>
      </c>
      <c r="J746" s="13">
        <v>510.0</v>
      </c>
      <c r="N746" s="3">
        <v>4380.0</v>
      </c>
      <c r="P746" s="4">
        <f t="shared" si="63"/>
        <v>2233.8</v>
      </c>
      <c r="S746" s="13"/>
    </row>
    <row r="747">
      <c r="A747" s="3">
        <v>2025.0</v>
      </c>
      <c r="B747" s="3" t="s">
        <v>137</v>
      </c>
      <c r="C747" s="1" t="s">
        <v>14</v>
      </c>
      <c r="F747" s="3" t="s">
        <v>26</v>
      </c>
      <c r="H747" s="3" t="s">
        <v>290</v>
      </c>
      <c r="J747" s="13">
        <v>565.0</v>
      </c>
      <c r="N747" s="3">
        <v>5180.0</v>
      </c>
      <c r="P747" s="4">
        <f t="shared" si="63"/>
        <v>2926.7</v>
      </c>
      <c r="S747" s="13"/>
    </row>
    <row r="748">
      <c r="A748" s="3">
        <v>2025.0</v>
      </c>
      <c r="B748" s="3" t="s">
        <v>137</v>
      </c>
      <c r="C748" s="1" t="s">
        <v>14</v>
      </c>
      <c r="F748" s="3" t="s">
        <v>26</v>
      </c>
      <c r="H748" s="3" t="s">
        <v>234</v>
      </c>
      <c r="L748" s="3">
        <v>1.0</v>
      </c>
      <c r="N748" s="3">
        <v>21990.0</v>
      </c>
      <c r="P748" s="4">
        <f t="shared" ref="P748:P751" si="64">N748*L748</f>
        <v>21990</v>
      </c>
    </row>
    <row r="749">
      <c r="A749" s="3">
        <v>2025.0</v>
      </c>
      <c r="B749" s="3" t="s">
        <v>137</v>
      </c>
      <c r="C749" s="1" t="s">
        <v>14</v>
      </c>
      <c r="F749" s="3" t="s">
        <v>26</v>
      </c>
      <c r="H749" s="3" t="s">
        <v>231</v>
      </c>
      <c r="L749" s="3">
        <v>1.0</v>
      </c>
      <c r="N749" s="3">
        <v>7200.0</v>
      </c>
      <c r="P749" s="4">
        <f t="shared" si="64"/>
        <v>7200</v>
      </c>
    </row>
    <row r="750">
      <c r="A750" s="3">
        <v>2025.0</v>
      </c>
      <c r="B750" s="3" t="s">
        <v>137</v>
      </c>
      <c r="C750" s="1" t="s">
        <v>14</v>
      </c>
      <c r="F750" s="3" t="s">
        <v>26</v>
      </c>
      <c r="H750" s="3" t="s">
        <v>233</v>
      </c>
      <c r="L750" s="3">
        <v>1.0</v>
      </c>
      <c r="N750" s="3">
        <v>4990.0</v>
      </c>
      <c r="P750" s="4">
        <f t="shared" si="64"/>
        <v>4990</v>
      </c>
    </row>
    <row r="751">
      <c r="A751" s="3">
        <v>2025.0</v>
      </c>
      <c r="B751" s="3" t="s">
        <v>137</v>
      </c>
      <c r="C751" s="1" t="s">
        <v>14</v>
      </c>
      <c r="F751" s="3" t="s">
        <v>26</v>
      </c>
      <c r="H751" s="3" t="s">
        <v>236</v>
      </c>
      <c r="L751" s="3">
        <v>1.0</v>
      </c>
      <c r="N751" s="3">
        <v>4390.0</v>
      </c>
      <c r="P751" s="4">
        <f t="shared" si="64"/>
        <v>4390</v>
      </c>
    </row>
    <row r="752">
      <c r="A752" s="3">
        <v>2025.0</v>
      </c>
      <c r="B752" s="3" t="s">
        <v>137</v>
      </c>
      <c r="C752" s="1" t="s">
        <v>14</v>
      </c>
      <c r="F752" s="3" t="s">
        <v>26</v>
      </c>
      <c r="H752" s="3" t="s">
        <v>284</v>
      </c>
      <c r="J752" s="13">
        <v>755.0</v>
      </c>
      <c r="N752" s="3">
        <v>4380.0</v>
      </c>
      <c r="P752" s="4">
        <f>N752*J752/1000</f>
        <v>3306.9</v>
      </c>
      <c r="S752" s="13"/>
    </row>
    <row r="753">
      <c r="A753" s="3">
        <v>2025.0</v>
      </c>
      <c r="B753" s="3" t="s">
        <v>137</v>
      </c>
      <c r="C753" s="1" t="s">
        <v>14</v>
      </c>
      <c r="F753" s="3" t="s">
        <v>26</v>
      </c>
      <c r="H753" s="3" t="s">
        <v>266</v>
      </c>
      <c r="L753" s="3">
        <v>1.0</v>
      </c>
      <c r="N753" s="3">
        <v>1990.0</v>
      </c>
      <c r="P753" s="4">
        <f t="shared" ref="P753:P757" si="65">N753*L753</f>
        <v>1990</v>
      </c>
    </row>
    <row r="754">
      <c r="A754" s="3">
        <v>2025.0</v>
      </c>
      <c r="B754" s="3" t="s">
        <v>137</v>
      </c>
      <c r="C754" s="1" t="s">
        <v>14</v>
      </c>
      <c r="F754" s="3" t="s">
        <v>26</v>
      </c>
      <c r="H754" s="3" t="s">
        <v>235</v>
      </c>
      <c r="L754" s="3">
        <v>1.0</v>
      </c>
      <c r="N754" s="3">
        <v>3500.0</v>
      </c>
      <c r="P754" s="4">
        <f t="shared" si="65"/>
        <v>3500</v>
      </c>
    </row>
    <row r="755">
      <c r="A755" s="3">
        <v>2025.0</v>
      </c>
      <c r="B755" s="3" t="s">
        <v>137</v>
      </c>
      <c r="C755" s="1" t="s">
        <v>14</v>
      </c>
      <c r="F755" s="3" t="s">
        <v>26</v>
      </c>
      <c r="H755" s="3" t="s">
        <v>298</v>
      </c>
      <c r="L755" s="3">
        <v>1.0</v>
      </c>
      <c r="N755" s="3">
        <v>1550.0</v>
      </c>
      <c r="P755" s="4">
        <f t="shared" si="65"/>
        <v>1550</v>
      </c>
    </row>
    <row r="756">
      <c r="A756" s="3">
        <v>2025.0</v>
      </c>
      <c r="B756" s="3" t="s">
        <v>137</v>
      </c>
      <c r="C756" s="1" t="s">
        <v>14</v>
      </c>
      <c r="F756" s="3" t="s">
        <v>26</v>
      </c>
      <c r="H756" s="3" t="s">
        <v>299</v>
      </c>
      <c r="L756" s="3">
        <v>1.0</v>
      </c>
      <c r="N756" s="3">
        <v>1550.0</v>
      </c>
      <c r="P756" s="4">
        <f t="shared" si="65"/>
        <v>1550</v>
      </c>
    </row>
    <row r="757">
      <c r="A757" s="3">
        <v>2025.0</v>
      </c>
      <c r="B757" s="3" t="s">
        <v>137</v>
      </c>
      <c r="C757" s="1" t="s">
        <v>14</v>
      </c>
      <c r="F757" s="3" t="s">
        <v>26</v>
      </c>
      <c r="H757" s="3" t="s">
        <v>268</v>
      </c>
      <c r="L757" s="3">
        <v>1.0</v>
      </c>
      <c r="N757" s="3">
        <v>1990.0</v>
      </c>
      <c r="P757" s="4">
        <f t="shared" si="65"/>
        <v>1990</v>
      </c>
    </row>
    <row r="758">
      <c r="A758" s="5" t="s">
        <v>12</v>
      </c>
      <c r="F758" s="6"/>
      <c r="G758" s="6"/>
      <c r="H758" s="6"/>
      <c r="I758" s="6"/>
      <c r="J758" s="6"/>
      <c r="K758" s="6"/>
      <c r="L758" s="6"/>
      <c r="M758" s="6"/>
      <c r="N758" s="6"/>
      <c r="O758" s="10" t="str">
        <f>CHANGE(P705,P758)</f>
        <v>#NAME?</v>
      </c>
      <c r="P758" s="7">
        <f>SUM(P724:P757)</f>
        <v>280798.02</v>
      </c>
    </row>
    <row r="759">
      <c r="A759" s="3">
        <v>2025.0</v>
      </c>
      <c r="B759" s="3" t="s">
        <v>137</v>
      </c>
      <c r="C759" s="1" t="s">
        <v>109</v>
      </c>
      <c r="F759" s="3" t="s">
        <v>26</v>
      </c>
      <c r="H759" s="3" t="s">
        <v>219</v>
      </c>
      <c r="J759" s="13">
        <v>688.0</v>
      </c>
      <c r="N759" s="3">
        <v>4900.0</v>
      </c>
      <c r="P759" s="4">
        <f t="shared" ref="P759:P762" si="66">N759*J759/1000</f>
        <v>3371.2</v>
      </c>
      <c r="S759" s="13"/>
    </row>
    <row r="760">
      <c r="A760" s="3">
        <v>2025.0</v>
      </c>
      <c r="B760" s="3" t="s">
        <v>137</v>
      </c>
      <c r="C760" s="1" t="s">
        <v>109</v>
      </c>
      <c r="F760" s="3" t="s">
        <v>26</v>
      </c>
      <c r="H760" s="3" t="s">
        <v>290</v>
      </c>
      <c r="J760" s="13">
        <v>508.0</v>
      </c>
      <c r="N760" s="3">
        <v>4780.0</v>
      </c>
      <c r="P760" s="4">
        <f t="shared" si="66"/>
        <v>2428.24</v>
      </c>
      <c r="S760" s="13"/>
    </row>
    <row r="761">
      <c r="A761" s="3">
        <v>2025.0</v>
      </c>
      <c r="B761" s="3" t="s">
        <v>137</v>
      </c>
      <c r="C761" s="1" t="s">
        <v>109</v>
      </c>
      <c r="F761" s="3" t="s">
        <v>26</v>
      </c>
      <c r="H761" s="3" t="s">
        <v>227</v>
      </c>
      <c r="J761" s="13">
        <v>1506.0</v>
      </c>
      <c r="N761" s="3">
        <v>3500.0</v>
      </c>
      <c r="P761" s="4">
        <f t="shared" si="66"/>
        <v>5271</v>
      </c>
      <c r="S761" s="13"/>
    </row>
    <row r="762">
      <c r="A762" s="3">
        <v>2025.0</v>
      </c>
      <c r="B762" s="3" t="s">
        <v>137</v>
      </c>
      <c r="C762" s="1" t="s">
        <v>109</v>
      </c>
      <c r="F762" s="3" t="s">
        <v>26</v>
      </c>
      <c r="H762" s="3" t="s">
        <v>230</v>
      </c>
      <c r="J762" s="13">
        <v>450.0</v>
      </c>
      <c r="N762" s="3">
        <v>4180.0</v>
      </c>
      <c r="P762" s="4">
        <f t="shared" si="66"/>
        <v>1881</v>
      </c>
      <c r="S762" s="13"/>
    </row>
    <row r="763">
      <c r="A763" s="3">
        <v>2025.0</v>
      </c>
      <c r="B763" s="3" t="s">
        <v>137</v>
      </c>
      <c r="C763" s="1" t="s">
        <v>109</v>
      </c>
      <c r="F763" s="3" t="s">
        <v>26</v>
      </c>
      <c r="H763" s="3" t="s">
        <v>295</v>
      </c>
      <c r="L763" s="3">
        <v>1.0</v>
      </c>
      <c r="N763" s="3">
        <v>20990.0</v>
      </c>
      <c r="P763" s="4">
        <f t="shared" ref="P763:P774" si="67">N763*L763</f>
        <v>20990</v>
      </c>
    </row>
    <row r="764">
      <c r="A764" s="3">
        <v>2025.0</v>
      </c>
      <c r="B764" s="3" t="s">
        <v>137</v>
      </c>
      <c r="C764" s="1" t="s">
        <v>109</v>
      </c>
      <c r="F764" s="3" t="s">
        <v>26</v>
      </c>
      <c r="H764" s="3" t="s">
        <v>293</v>
      </c>
      <c r="L764" s="3">
        <v>1.0</v>
      </c>
      <c r="N764" s="3">
        <v>8450.0</v>
      </c>
      <c r="P764" s="4">
        <f t="shared" si="67"/>
        <v>8450</v>
      </c>
    </row>
    <row r="765">
      <c r="A765" s="3">
        <v>2025.0</v>
      </c>
      <c r="B765" s="3" t="s">
        <v>137</v>
      </c>
      <c r="C765" s="1" t="s">
        <v>109</v>
      </c>
      <c r="F765" s="3" t="s">
        <v>26</v>
      </c>
      <c r="H765" s="3" t="s">
        <v>296</v>
      </c>
      <c r="L765" s="3">
        <v>1.0</v>
      </c>
      <c r="N765" s="3">
        <v>2650.0</v>
      </c>
      <c r="P765" s="4">
        <f t="shared" si="67"/>
        <v>2650</v>
      </c>
    </row>
    <row r="766">
      <c r="A766" s="3">
        <v>2025.0</v>
      </c>
      <c r="B766" s="3" t="s">
        <v>137</v>
      </c>
      <c r="C766" s="1" t="s">
        <v>109</v>
      </c>
      <c r="F766" s="3" t="s">
        <v>26</v>
      </c>
      <c r="H766" s="3" t="s">
        <v>232</v>
      </c>
      <c r="L766" s="3">
        <v>1.0</v>
      </c>
      <c r="N766" s="3">
        <v>1500.0</v>
      </c>
      <c r="P766" s="4">
        <f t="shared" si="67"/>
        <v>1500</v>
      </c>
    </row>
    <row r="767">
      <c r="A767" s="3">
        <v>2025.0</v>
      </c>
      <c r="B767" s="3" t="s">
        <v>137</v>
      </c>
      <c r="C767" s="1" t="s">
        <v>109</v>
      </c>
      <c r="F767" s="3" t="s">
        <v>26</v>
      </c>
      <c r="H767" s="3" t="s">
        <v>236</v>
      </c>
      <c r="L767" s="3">
        <v>1.0</v>
      </c>
      <c r="N767" s="3">
        <v>4290.0</v>
      </c>
      <c r="P767" s="4">
        <f t="shared" si="67"/>
        <v>4290</v>
      </c>
    </row>
    <row r="768">
      <c r="A768" s="3">
        <v>2025.0</v>
      </c>
      <c r="B768" s="3" t="s">
        <v>137</v>
      </c>
      <c r="C768" s="1" t="s">
        <v>109</v>
      </c>
      <c r="F768" s="3" t="s">
        <v>26</v>
      </c>
      <c r="H768" s="3" t="s">
        <v>232</v>
      </c>
      <c r="L768" s="3">
        <v>1.0</v>
      </c>
      <c r="N768" s="3">
        <v>1500.0</v>
      </c>
      <c r="P768" s="4">
        <f t="shared" si="67"/>
        <v>1500</v>
      </c>
    </row>
    <row r="769">
      <c r="A769" s="3">
        <v>2025.0</v>
      </c>
      <c r="B769" s="3" t="s">
        <v>137</v>
      </c>
      <c r="C769" s="1" t="s">
        <v>109</v>
      </c>
      <c r="F769" s="3" t="s">
        <v>26</v>
      </c>
      <c r="H769" s="3" t="s">
        <v>300</v>
      </c>
      <c r="L769" s="3">
        <v>1.0</v>
      </c>
      <c r="N769" s="3">
        <v>18900.0</v>
      </c>
      <c r="P769" s="4">
        <f t="shared" si="67"/>
        <v>18900</v>
      </c>
    </row>
    <row r="770">
      <c r="A770" s="3">
        <v>2025.0</v>
      </c>
      <c r="B770" s="3" t="s">
        <v>137</v>
      </c>
      <c r="C770" s="1" t="s">
        <v>109</v>
      </c>
      <c r="F770" s="3" t="s">
        <v>26</v>
      </c>
      <c r="H770" s="3" t="s">
        <v>251</v>
      </c>
      <c r="L770" s="3">
        <v>1.0</v>
      </c>
      <c r="N770" s="3">
        <v>2800.0</v>
      </c>
      <c r="P770" s="4">
        <f t="shared" si="67"/>
        <v>2800</v>
      </c>
    </row>
    <row r="771">
      <c r="A771" s="3">
        <v>2025.0</v>
      </c>
      <c r="B771" s="3" t="s">
        <v>137</v>
      </c>
      <c r="C771" s="1" t="s">
        <v>109</v>
      </c>
      <c r="F771" s="3" t="s">
        <v>26</v>
      </c>
      <c r="H771" s="3" t="s">
        <v>298</v>
      </c>
      <c r="L771" s="3">
        <v>1.0</v>
      </c>
      <c r="N771" s="3">
        <v>1550.0</v>
      </c>
      <c r="P771" s="4">
        <f t="shared" si="67"/>
        <v>1550</v>
      </c>
    </row>
    <row r="772">
      <c r="A772" s="3">
        <v>2025.0</v>
      </c>
      <c r="B772" s="3" t="s">
        <v>137</v>
      </c>
      <c r="C772" s="1" t="s">
        <v>109</v>
      </c>
      <c r="F772" s="3" t="s">
        <v>26</v>
      </c>
      <c r="H772" s="3" t="s">
        <v>233</v>
      </c>
      <c r="L772" s="3">
        <v>1.0</v>
      </c>
      <c r="N772" s="3">
        <v>4990.0</v>
      </c>
      <c r="P772" s="4">
        <f t="shared" si="67"/>
        <v>4990</v>
      </c>
    </row>
    <row r="773">
      <c r="A773" s="3">
        <v>2025.0</v>
      </c>
      <c r="B773" s="3" t="s">
        <v>137</v>
      </c>
      <c r="C773" s="1" t="s">
        <v>109</v>
      </c>
      <c r="F773" s="3" t="s">
        <v>26</v>
      </c>
      <c r="H773" s="3" t="s">
        <v>231</v>
      </c>
      <c r="L773" s="3">
        <v>1.0</v>
      </c>
      <c r="N773" s="3">
        <v>7200.0</v>
      </c>
      <c r="P773" s="4">
        <f t="shared" si="67"/>
        <v>7200</v>
      </c>
    </row>
    <row r="774">
      <c r="A774" s="3">
        <v>2025.0</v>
      </c>
      <c r="B774" s="3" t="s">
        <v>137</v>
      </c>
      <c r="C774" s="1" t="s">
        <v>109</v>
      </c>
      <c r="F774" s="3" t="s">
        <v>26</v>
      </c>
      <c r="H774" s="3" t="s">
        <v>291</v>
      </c>
      <c r="L774" s="3">
        <v>1.0</v>
      </c>
      <c r="N774" s="3">
        <v>9450.0</v>
      </c>
      <c r="P774" s="4">
        <f t="shared" si="67"/>
        <v>9450</v>
      </c>
    </row>
    <row r="775">
      <c r="A775" s="3">
        <v>2025.0</v>
      </c>
      <c r="B775" s="3" t="s">
        <v>137</v>
      </c>
      <c r="C775" s="1" t="s">
        <v>109</v>
      </c>
      <c r="F775" s="3" t="s">
        <v>26</v>
      </c>
      <c r="H775" s="3" t="s">
        <v>280</v>
      </c>
      <c r="J775" s="13">
        <v>968.0</v>
      </c>
      <c r="N775" s="3">
        <v>32980.0</v>
      </c>
      <c r="P775" s="4">
        <f t="shared" ref="P775:P790" si="68">N775*J775/1000</f>
        <v>31924.64</v>
      </c>
      <c r="S775" s="13"/>
    </row>
    <row r="776">
      <c r="A776" s="3">
        <v>2025.0</v>
      </c>
      <c r="B776" s="3" t="s">
        <v>137</v>
      </c>
      <c r="C776" s="1" t="s">
        <v>109</v>
      </c>
      <c r="F776" s="3" t="s">
        <v>26</v>
      </c>
      <c r="H776" s="3" t="s">
        <v>271</v>
      </c>
      <c r="J776" s="13">
        <v>1114.0</v>
      </c>
      <c r="N776" s="3">
        <v>15980.0</v>
      </c>
      <c r="P776" s="4">
        <f t="shared" si="68"/>
        <v>17801.72</v>
      </c>
      <c r="S776" s="13"/>
    </row>
    <row r="777">
      <c r="A777" s="3">
        <v>2025.0</v>
      </c>
      <c r="B777" s="3" t="s">
        <v>137</v>
      </c>
      <c r="C777" s="1" t="s">
        <v>109</v>
      </c>
      <c r="F777" s="3" t="s">
        <v>26</v>
      </c>
      <c r="H777" s="3" t="s">
        <v>258</v>
      </c>
      <c r="J777" s="13">
        <v>1064.0</v>
      </c>
      <c r="N777" s="3">
        <v>26980.0</v>
      </c>
      <c r="P777" s="4">
        <f t="shared" si="68"/>
        <v>28706.72</v>
      </c>
      <c r="S777" s="13"/>
    </row>
    <row r="778">
      <c r="A778" s="3">
        <v>2025.0</v>
      </c>
      <c r="B778" s="3" t="s">
        <v>137</v>
      </c>
      <c r="C778" s="1" t="s">
        <v>109</v>
      </c>
      <c r="F778" s="3" t="s">
        <v>26</v>
      </c>
      <c r="H778" s="3" t="s">
        <v>260</v>
      </c>
      <c r="J778" s="13">
        <v>768.0</v>
      </c>
      <c r="N778" s="3">
        <v>15980.0</v>
      </c>
      <c r="P778" s="4">
        <f t="shared" si="68"/>
        <v>12272.64</v>
      </c>
      <c r="S778" s="13"/>
    </row>
    <row r="779">
      <c r="A779" s="3">
        <v>2025.0</v>
      </c>
      <c r="B779" s="3" t="s">
        <v>137</v>
      </c>
      <c r="C779" s="1" t="s">
        <v>109</v>
      </c>
      <c r="F779" s="3" t="s">
        <v>26</v>
      </c>
      <c r="H779" s="3" t="s">
        <v>258</v>
      </c>
      <c r="J779" s="13">
        <v>898.0</v>
      </c>
      <c r="N779" s="3">
        <v>26980.0</v>
      </c>
      <c r="P779" s="4">
        <f t="shared" si="68"/>
        <v>24228.04</v>
      </c>
      <c r="S779" s="13"/>
    </row>
    <row r="780">
      <c r="A780" s="3">
        <v>2025.0</v>
      </c>
      <c r="B780" s="3" t="s">
        <v>137</v>
      </c>
      <c r="C780" s="1" t="s">
        <v>109</v>
      </c>
      <c r="F780" s="3" t="s">
        <v>26</v>
      </c>
      <c r="H780" s="3" t="s">
        <v>240</v>
      </c>
      <c r="J780" s="13">
        <v>2445.0</v>
      </c>
      <c r="N780" s="3">
        <v>8780.0</v>
      </c>
      <c r="P780" s="4">
        <f t="shared" si="68"/>
        <v>21467.1</v>
      </c>
      <c r="S780" s="13"/>
    </row>
    <row r="781">
      <c r="A781" s="3">
        <v>2025.0</v>
      </c>
      <c r="B781" s="3" t="s">
        <v>137</v>
      </c>
      <c r="C781" s="1" t="s">
        <v>109</v>
      </c>
      <c r="F781" s="3" t="s">
        <v>26</v>
      </c>
      <c r="H781" s="3" t="s">
        <v>240</v>
      </c>
      <c r="J781" s="13">
        <v>2705.0</v>
      </c>
      <c r="N781" s="3">
        <v>8780.0</v>
      </c>
      <c r="P781" s="4">
        <f t="shared" si="68"/>
        <v>23749.9</v>
      </c>
      <c r="S781" s="13"/>
    </row>
    <row r="782">
      <c r="A782" s="3">
        <v>2025.0</v>
      </c>
      <c r="B782" s="3" t="s">
        <v>137</v>
      </c>
      <c r="C782" s="1" t="s">
        <v>109</v>
      </c>
      <c r="F782" s="3" t="s">
        <v>26</v>
      </c>
      <c r="H782" s="3" t="s">
        <v>253</v>
      </c>
      <c r="J782" s="13">
        <v>2460.0</v>
      </c>
      <c r="N782" s="3">
        <v>1180.0</v>
      </c>
      <c r="P782" s="4">
        <f t="shared" si="68"/>
        <v>2902.8</v>
      </c>
      <c r="S782" s="13"/>
    </row>
    <row r="783">
      <c r="A783" s="3">
        <v>2025.0</v>
      </c>
      <c r="B783" s="3" t="s">
        <v>137</v>
      </c>
      <c r="C783" s="1" t="s">
        <v>109</v>
      </c>
      <c r="F783" s="3" t="s">
        <v>26</v>
      </c>
      <c r="H783" s="3" t="s">
        <v>217</v>
      </c>
      <c r="J783" s="13">
        <v>3472.0</v>
      </c>
      <c r="N783" s="3">
        <v>2700.0</v>
      </c>
      <c r="P783" s="4">
        <f t="shared" si="68"/>
        <v>9374.4</v>
      </c>
      <c r="S783" s="13"/>
    </row>
    <row r="784">
      <c r="A784" s="3">
        <v>2025.0</v>
      </c>
      <c r="B784" s="3" t="s">
        <v>137</v>
      </c>
      <c r="C784" s="1" t="s">
        <v>109</v>
      </c>
      <c r="F784" s="3" t="s">
        <v>26</v>
      </c>
      <c r="H784" s="3" t="s">
        <v>216</v>
      </c>
      <c r="J784" s="13">
        <v>1226.0</v>
      </c>
      <c r="N784" s="3">
        <v>2580.0</v>
      </c>
      <c r="P784" s="4">
        <f t="shared" si="68"/>
        <v>3163.08</v>
      </c>
      <c r="S784" s="13"/>
    </row>
    <row r="785">
      <c r="A785" s="3">
        <v>2025.0</v>
      </c>
      <c r="B785" s="3" t="s">
        <v>137</v>
      </c>
      <c r="C785" s="1" t="s">
        <v>109</v>
      </c>
      <c r="F785" s="3" t="s">
        <v>26</v>
      </c>
      <c r="H785" s="3" t="s">
        <v>277</v>
      </c>
      <c r="J785" s="13">
        <v>228.0</v>
      </c>
      <c r="N785" s="3">
        <v>4700.0</v>
      </c>
      <c r="P785" s="4">
        <f t="shared" si="68"/>
        <v>1071.6</v>
      </c>
      <c r="S785" s="13"/>
    </row>
    <row r="786">
      <c r="A786" s="3">
        <v>2025.0</v>
      </c>
      <c r="B786" s="3" t="s">
        <v>137</v>
      </c>
      <c r="C786" s="1" t="s">
        <v>109</v>
      </c>
      <c r="F786" s="3" t="s">
        <v>26</v>
      </c>
      <c r="H786" s="3" t="s">
        <v>289</v>
      </c>
      <c r="J786" s="13">
        <v>936.0</v>
      </c>
      <c r="N786" s="3">
        <v>3580.0</v>
      </c>
      <c r="P786" s="4">
        <f t="shared" si="68"/>
        <v>3350.88</v>
      </c>
      <c r="S786" s="13"/>
    </row>
    <row r="787">
      <c r="A787" s="3">
        <v>2025.0</v>
      </c>
      <c r="B787" s="3" t="s">
        <v>137</v>
      </c>
      <c r="C787" s="1" t="s">
        <v>109</v>
      </c>
      <c r="F787" s="3" t="s">
        <v>26</v>
      </c>
      <c r="H787" s="3" t="s">
        <v>226</v>
      </c>
      <c r="J787" s="13">
        <v>3716.0</v>
      </c>
      <c r="N787" s="3">
        <v>5500.0</v>
      </c>
      <c r="P787" s="4">
        <f t="shared" si="68"/>
        <v>20438</v>
      </c>
      <c r="S787" s="13"/>
    </row>
    <row r="788">
      <c r="A788" s="3">
        <v>2025.0</v>
      </c>
      <c r="B788" s="3" t="s">
        <v>137</v>
      </c>
      <c r="C788" s="1" t="s">
        <v>109</v>
      </c>
      <c r="F788" s="3" t="s">
        <v>26</v>
      </c>
      <c r="H788" s="3" t="s">
        <v>218</v>
      </c>
      <c r="J788" s="13">
        <v>2004.0</v>
      </c>
      <c r="N788" s="3">
        <v>2380.0</v>
      </c>
      <c r="P788" s="4">
        <f t="shared" si="68"/>
        <v>4769.52</v>
      </c>
      <c r="S788" s="13"/>
    </row>
    <row r="789">
      <c r="A789" s="3">
        <v>2025.0</v>
      </c>
      <c r="B789" s="3" t="s">
        <v>137</v>
      </c>
      <c r="C789" s="1" t="s">
        <v>109</v>
      </c>
      <c r="F789" s="3" t="s">
        <v>26</v>
      </c>
      <c r="H789" s="3" t="s">
        <v>228</v>
      </c>
      <c r="J789" s="13">
        <v>1122.0</v>
      </c>
      <c r="N789" s="3">
        <v>5380.0</v>
      </c>
      <c r="P789" s="4">
        <f t="shared" si="68"/>
        <v>6036.36</v>
      </c>
      <c r="S789" s="13"/>
    </row>
    <row r="790">
      <c r="A790" s="3">
        <v>2025.0</v>
      </c>
      <c r="B790" s="3" t="s">
        <v>137</v>
      </c>
      <c r="C790" s="1" t="s">
        <v>109</v>
      </c>
      <c r="F790" s="3" t="s">
        <v>26</v>
      </c>
      <c r="H790" s="3" t="s">
        <v>230</v>
      </c>
      <c r="J790" s="13">
        <v>690.0</v>
      </c>
      <c r="N790" s="3">
        <v>4180.0</v>
      </c>
      <c r="P790" s="4">
        <f t="shared" si="68"/>
        <v>2884.2</v>
      </c>
      <c r="S790" s="13"/>
    </row>
    <row r="791">
      <c r="A791" s="5" t="s">
        <v>12</v>
      </c>
      <c r="F791" s="6"/>
      <c r="G791" s="6"/>
      <c r="H791" s="6"/>
      <c r="I791" s="6"/>
      <c r="J791" s="6"/>
      <c r="K791" s="6"/>
      <c r="L791" s="6"/>
      <c r="M791" s="6"/>
      <c r="N791" s="6"/>
      <c r="O791" s="10" t="str">
        <f>CHANGE(P738,P791)</f>
        <v>#NAME?</v>
      </c>
      <c r="P791" s="7">
        <f>SUM(P759:P790)</f>
        <v>311363.04</v>
      </c>
    </row>
    <row r="792">
      <c r="A792" s="3">
        <v>2025.0</v>
      </c>
      <c r="B792" s="3" t="s">
        <v>173</v>
      </c>
      <c r="C792" s="1" t="s">
        <v>109</v>
      </c>
      <c r="F792" s="3" t="s">
        <v>26</v>
      </c>
      <c r="H792" s="3" t="s">
        <v>301</v>
      </c>
      <c r="J792" s="13">
        <v>835.0</v>
      </c>
      <c r="N792" s="3">
        <v>4380.0</v>
      </c>
      <c r="P792" s="4">
        <f>N792*J792/1000</f>
        <v>3657.3</v>
      </c>
      <c r="S792" s="13"/>
    </row>
    <row r="793">
      <c r="A793" s="3">
        <v>2025.0</v>
      </c>
      <c r="B793" s="3" t="s">
        <v>173</v>
      </c>
      <c r="C793" s="1" t="s">
        <v>109</v>
      </c>
      <c r="F793" s="3" t="s">
        <v>26</v>
      </c>
      <c r="H793" s="3" t="s">
        <v>234</v>
      </c>
      <c r="L793" s="3">
        <v>1.0</v>
      </c>
      <c r="N793" s="3">
        <v>21990.0</v>
      </c>
      <c r="P793" s="4">
        <f t="shared" ref="P793:P795" si="69">N793*L793</f>
        <v>21990</v>
      </c>
    </row>
    <row r="794">
      <c r="A794" s="3">
        <v>2025.0</v>
      </c>
      <c r="B794" s="3" t="s">
        <v>173</v>
      </c>
      <c r="C794" s="1" t="s">
        <v>109</v>
      </c>
      <c r="F794" s="3" t="s">
        <v>26</v>
      </c>
      <c r="H794" s="3" t="s">
        <v>232</v>
      </c>
      <c r="L794" s="3">
        <v>1.0</v>
      </c>
      <c r="N794" s="3">
        <v>1500.0</v>
      </c>
      <c r="P794" s="4">
        <f t="shared" si="69"/>
        <v>1500</v>
      </c>
    </row>
    <row r="795">
      <c r="A795" s="3">
        <v>2025.0</v>
      </c>
      <c r="B795" s="3" t="s">
        <v>173</v>
      </c>
      <c r="C795" s="1" t="s">
        <v>109</v>
      </c>
      <c r="F795" s="3" t="s">
        <v>26</v>
      </c>
      <c r="H795" s="3" t="s">
        <v>292</v>
      </c>
      <c r="L795" s="3">
        <v>1.0</v>
      </c>
      <c r="N795" s="3">
        <v>22990.0</v>
      </c>
      <c r="P795" s="4">
        <f t="shared" si="69"/>
        <v>22990</v>
      </c>
    </row>
    <row r="796">
      <c r="A796" s="3">
        <v>2025.0</v>
      </c>
      <c r="B796" s="3" t="s">
        <v>173</v>
      </c>
      <c r="C796" s="1" t="s">
        <v>109</v>
      </c>
      <c r="F796" s="3" t="s">
        <v>26</v>
      </c>
      <c r="H796" s="3" t="s">
        <v>218</v>
      </c>
      <c r="J796" s="13">
        <v>2395.0</v>
      </c>
      <c r="N796" s="3">
        <v>2380.0</v>
      </c>
      <c r="P796" s="4">
        <f t="shared" ref="P796:P797" si="70">N796*J796/1000</f>
        <v>5700.1</v>
      </c>
      <c r="S796" s="13"/>
    </row>
    <row r="797">
      <c r="A797" s="3">
        <v>2025.0</v>
      </c>
      <c r="B797" s="3" t="s">
        <v>173</v>
      </c>
      <c r="C797" s="1" t="s">
        <v>109</v>
      </c>
      <c r="F797" s="3" t="s">
        <v>26</v>
      </c>
      <c r="H797" s="3" t="s">
        <v>226</v>
      </c>
      <c r="J797" s="13">
        <v>3155.0</v>
      </c>
      <c r="N797" s="3">
        <v>3980.0</v>
      </c>
      <c r="P797" s="4">
        <f t="shared" si="70"/>
        <v>12556.9</v>
      </c>
      <c r="S797" s="13"/>
    </row>
    <row r="798">
      <c r="A798" s="3">
        <v>2025.0</v>
      </c>
      <c r="B798" s="3" t="s">
        <v>173</v>
      </c>
      <c r="C798" s="1" t="s">
        <v>109</v>
      </c>
      <c r="F798" s="3" t="s">
        <v>26</v>
      </c>
      <c r="H798" s="3" t="s">
        <v>293</v>
      </c>
      <c r="L798" s="3">
        <v>1.0</v>
      </c>
      <c r="N798" s="3">
        <v>8990.0</v>
      </c>
      <c r="P798" s="4">
        <f t="shared" ref="P798:P806" si="71">N798*L798</f>
        <v>8990</v>
      </c>
    </row>
    <row r="799">
      <c r="A799" s="3">
        <v>2025.0</v>
      </c>
      <c r="B799" s="3" t="s">
        <v>173</v>
      </c>
      <c r="C799" s="1" t="s">
        <v>109</v>
      </c>
      <c r="F799" s="3" t="s">
        <v>26</v>
      </c>
      <c r="H799" s="3" t="s">
        <v>302</v>
      </c>
      <c r="L799" s="3">
        <v>1.0</v>
      </c>
      <c r="N799" s="3">
        <v>5400.0</v>
      </c>
      <c r="P799" s="4">
        <f t="shared" si="71"/>
        <v>5400</v>
      </c>
    </row>
    <row r="800">
      <c r="A800" s="3">
        <v>2025.0</v>
      </c>
      <c r="B800" s="3" t="s">
        <v>173</v>
      </c>
      <c r="C800" s="1" t="s">
        <v>109</v>
      </c>
      <c r="F800" s="3" t="s">
        <v>26</v>
      </c>
      <c r="H800" s="3" t="s">
        <v>302</v>
      </c>
      <c r="L800" s="3">
        <v>1.0</v>
      </c>
      <c r="N800" s="3">
        <v>5400.0</v>
      </c>
      <c r="P800" s="4">
        <f t="shared" si="71"/>
        <v>5400</v>
      </c>
    </row>
    <row r="801">
      <c r="A801" s="3">
        <v>2025.0</v>
      </c>
      <c r="B801" s="3" t="s">
        <v>173</v>
      </c>
      <c r="C801" s="1" t="s">
        <v>109</v>
      </c>
      <c r="F801" s="3" t="s">
        <v>26</v>
      </c>
      <c r="H801" s="3" t="s">
        <v>302</v>
      </c>
      <c r="L801" s="3">
        <v>1.0</v>
      </c>
      <c r="N801" s="3">
        <v>5400.0</v>
      </c>
      <c r="P801" s="4">
        <f t="shared" si="71"/>
        <v>5400</v>
      </c>
    </row>
    <row r="802">
      <c r="A802" s="3">
        <v>2025.0</v>
      </c>
      <c r="B802" s="3" t="s">
        <v>173</v>
      </c>
      <c r="C802" s="1" t="s">
        <v>109</v>
      </c>
      <c r="F802" s="3" t="s">
        <v>26</v>
      </c>
      <c r="H802" s="3" t="s">
        <v>302</v>
      </c>
      <c r="L802" s="3">
        <v>1.0</v>
      </c>
      <c r="N802" s="3">
        <v>5400.0</v>
      </c>
      <c r="P802" s="4">
        <f t="shared" si="71"/>
        <v>5400</v>
      </c>
    </row>
    <row r="803">
      <c r="A803" s="3">
        <v>2025.0</v>
      </c>
      <c r="B803" s="3" t="s">
        <v>173</v>
      </c>
      <c r="C803" s="1" t="s">
        <v>109</v>
      </c>
      <c r="F803" s="3" t="s">
        <v>26</v>
      </c>
      <c r="H803" s="3" t="s">
        <v>236</v>
      </c>
      <c r="L803" s="3">
        <v>1.0</v>
      </c>
      <c r="N803" s="3">
        <v>4290.0</v>
      </c>
      <c r="P803" s="4">
        <f t="shared" si="71"/>
        <v>4290</v>
      </c>
    </row>
    <row r="804">
      <c r="A804" s="3">
        <v>2025.0</v>
      </c>
      <c r="B804" s="3" t="s">
        <v>173</v>
      </c>
      <c r="C804" s="1" t="s">
        <v>109</v>
      </c>
      <c r="F804" s="3" t="s">
        <v>26</v>
      </c>
      <c r="H804" s="3" t="s">
        <v>266</v>
      </c>
      <c r="L804" s="3">
        <v>1.0</v>
      </c>
      <c r="N804" s="3">
        <v>1990.0</v>
      </c>
      <c r="P804" s="4">
        <f t="shared" si="71"/>
        <v>1990</v>
      </c>
    </row>
    <row r="805">
      <c r="A805" s="3">
        <v>2025.0</v>
      </c>
      <c r="B805" s="3" t="s">
        <v>173</v>
      </c>
      <c r="C805" s="1" t="s">
        <v>109</v>
      </c>
      <c r="F805" s="3" t="s">
        <v>26</v>
      </c>
      <c r="H805" s="3" t="s">
        <v>250</v>
      </c>
      <c r="L805" s="3">
        <v>1.0</v>
      </c>
      <c r="N805" s="3">
        <v>2850.0</v>
      </c>
      <c r="P805" s="4">
        <f t="shared" si="71"/>
        <v>2850</v>
      </c>
    </row>
    <row r="806">
      <c r="A806" s="3">
        <v>2025.0</v>
      </c>
      <c r="B806" s="3" t="s">
        <v>173</v>
      </c>
      <c r="C806" s="1" t="s">
        <v>109</v>
      </c>
      <c r="F806" s="3" t="s">
        <v>26</v>
      </c>
      <c r="H806" s="3" t="s">
        <v>251</v>
      </c>
      <c r="L806" s="3">
        <v>1.0</v>
      </c>
      <c r="N806" s="3">
        <v>2800.0</v>
      </c>
      <c r="P806" s="4">
        <f t="shared" si="71"/>
        <v>2800</v>
      </c>
    </row>
    <row r="807">
      <c r="A807" s="3">
        <v>2025.0</v>
      </c>
      <c r="B807" s="3" t="s">
        <v>173</v>
      </c>
      <c r="C807" s="1" t="s">
        <v>109</v>
      </c>
      <c r="F807" s="3" t="s">
        <v>26</v>
      </c>
      <c r="H807" s="3" t="s">
        <v>240</v>
      </c>
      <c r="J807" s="13">
        <v>3445.0</v>
      </c>
      <c r="N807" s="3">
        <v>10980.0</v>
      </c>
      <c r="P807" s="4">
        <f t="shared" ref="P807:P823" si="72">N807*J807/1000</f>
        <v>37826.1</v>
      </c>
      <c r="S807" s="13"/>
    </row>
    <row r="808">
      <c r="A808" s="3">
        <v>2025.0</v>
      </c>
      <c r="B808" s="3" t="s">
        <v>173</v>
      </c>
      <c r="C808" s="1" t="s">
        <v>109</v>
      </c>
      <c r="F808" s="3" t="s">
        <v>26</v>
      </c>
      <c r="H808" s="3" t="s">
        <v>240</v>
      </c>
      <c r="J808" s="13">
        <v>3235.0</v>
      </c>
      <c r="N808" s="3">
        <v>10980.0</v>
      </c>
      <c r="P808" s="4">
        <f t="shared" si="72"/>
        <v>35520.3</v>
      </c>
      <c r="S808" s="13"/>
    </row>
    <row r="809">
      <c r="A809" s="3">
        <v>2025.0</v>
      </c>
      <c r="B809" s="3" t="s">
        <v>173</v>
      </c>
      <c r="C809" s="1" t="s">
        <v>109</v>
      </c>
      <c r="F809" s="3" t="s">
        <v>26</v>
      </c>
      <c r="H809" s="3" t="s">
        <v>260</v>
      </c>
      <c r="J809" s="13">
        <v>814.0</v>
      </c>
      <c r="N809" s="3">
        <v>16780.0</v>
      </c>
      <c r="P809" s="4">
        <f t="shared" si="72"/>
        <v>13658.92</v>
      </c>
      <c r="S809" s="13"/>
    </row>
    <row r="810">
      <c r="A810" s="3">
        <v>2025.0</v>
      </c>
      <c r="B810" s="3" t="s">
        <v>173</v>
      </c>
      <c r="C810" s="1" t="s">
        <v>109</v>
      </c>
      <c r="F810" s="3" t="s">
        <v>26</v>
      </c>
      <c r="H810" s="3" t="s">
        <v>271</v>
      </c>
      <c r="J810" s="13">
        <v>1000.0</v>
      </c>
      <c r="N810" s="3">
        <v>22580.0</v>
      </c>
      <c r="P810" s="4">
        <f t="shared" si="72"/>
        <v>22580</v>
      </c>
      <c r="S810" s="13"/>
    </row>
    <row r="811">
      <c r="A811" s="3">
        <v>2025.0</v>
      </c>
      <c r="B811" s="3" t="s">
        <v>173</v>
      </c>
      <c r="C811" s="1" t="s">
        <v>109</v>
      </c>
      <c r="F811" s="3" t="s">
        <v>26</v>
      </c>
      <c r="H811" s="3" t="s">
        <v>303</v>
      </c>
      <c r="J811" s="13">
        <v>980.0</v>
      </c>
      <c r="N811" s="3">
        <v>27380.0</v>
      </c>
      <c r="P811" s="4">
        <f t="shared" si="72"/>
        <v>26832.4</v>
      </c>
      <c r="S811" s="13"/>
    </row>
    <row r="812">
      <c r="A812" s="3">
        <v>2025.0</v>
      </c>
      <c r="B812" s="3" t="s">
        <v>173</v>
      </c>
      <c r="C812" s="1" t="s">
        <v>109</v>
      </c>
      <c r="F812" s="3" t="s">
        <v>26</v>
      </c>
      <c r="H812" s="3" t="s">
        <v>280</v>
      </c>
      <c r="J812" s="13">
        <v>992.0</v>
      </c>
      <c r="N812" s="3">
        <v>32980.0</v>
      </c>
      <c r="P812" s="4">
        <f t="shared" si="72"/>
        <v>32716.16</v>
      </c>
      <c r="S812" s="13"/>
    </row>
    <row r="813">
      <c r="A813" s="3">
        <v>2025.0</v>
      </c>
      <c r="B813" s="3" t="s">
        <v>173</v>
      </c>
      <c r="C813" s="1" t="s">
        <v>109</v>
      </c>
      <c r="F813" s="3" t="s">
        <v>26</v>
      </c>
      <c r="H813" s="3" t="s">
        <v>258</v>
      </c>
      <c r="J813" s="13">
        <v>990.0</v>
      </c>
      <c r="N813" s="3">
        <v>26980.0</v>
      </c>
      <c r="P813" s="4">
        <f t="shared" si="72"/>
        <v>26710.2</v>
      </c>
      <c r="S813" s="13"/>
    </row>
    <row r="814">
      <c r="A814" s="3">
        <v>2025.0</v>
      </c>
      <c r="B814" s="3" t="s">
        <v>173</v>
      </c>
      <c r="C814" s="1" t="s">
        <v>109</v>
      </c>
      <c r="F814" s="3" t="s">
        <v>26</v>
      </c>
      <c r="H814" s="3" t="s">
        <v>216</v>
      </c>
      <c r="J814" s="13">
        <v>1400.0</v>
      </c>
      <c r="N814" s="3">
        <v>2580.0</v>
      </c>
      <c r="P814" s="4">
        <f t="shared" si="72"/>
        <v>3612</v>
      </c>
      <c r="S814" s="13"/>
    </row>
    <row r="815">
      <c r="A815" s="3">
        <v>2025.0</v>
      </c>
      <c r="B815" s="3" t="s">
        <v>173</v>
      </c>
      <c r="C815" s="1" t="s">
        <v>109</v>
      </c>
      <c r="F815" s="3" t="s">
        <v>26</v>
      </c>
      <c r="H815" s="3" t="s">
        <v>289</v>
      </c>
      <c r="J815" s="13">
        <v>870.0</v>
      </c>
      <c r="N815" s="3">
        <v>3900.0</v>
      </c>
      <c r="P815" s="4">
        <f t="shared" si="72"/>
        <v>3393</v>
      </c>
      <c r="S815" s="13"/>
    </row>
    <row r="816">
      <c r="A816" s="3">
        <v>2025.0</v>
      </c>
      <c r="B816" s="3" t="s">
        <v>173</v>
      </c>
      <c r="C816" s="1" t="s">
        <v>109</v>
      </c>
      <c r="F816" s="3" t="s">
        <v>26</v>
      </c>
      <c r="H816" s="3" t="s">
        <v>219</v>
      </c>
      <c r="J816" s="13">
        <v>540.0</v>
      </c>
      <c r="N816" s="3">
        <v>4780.0</v>
      </c>
      <c r="P816" s="4">
        <f t="shared" si="72"/>
        <v>2581.2</v>
      </c>
      <c r="S816" s="13"/>
    </row>
    <row r="817">
      <c r="A817" s="3">
        <v>2025.0</v>
      </c>
      <c r="B817" s="3" t="s">
        <v>173</v>
      </c>
      <c r="C817" s="1" t="s">
        <v>109</v>
      </c>
      <c r="F817" s="3" t="s">
        <v>26</v>
      </c>
      <c r="H817" s="3" t="s">
        <v>217</v>
      </c>
      <c r="J817" s="13">
        <v>3325.0</v>
      </c>
      <c r="N817" s="3">
        <v>3180.0</v>
      </c>
      <c r="P817" s="4">
        <f t="shared" si="72"/>
        <v>10573.5</v>
      </c>
      <c r="S817" s="13"/>
    </row>
    <row r="818">
      <c r="A818" s="3">
        <v>2025.0</v>
      </c>
      <c r="B818" s="3" t="s">
        <v>173</v>
      </c>
      <c r="C818" s="1" t="s">
        <v>109</v>
      </c>
      <c r="F818" s="3" t="s">
        <v>26</v>
      </c>
      <c r="H818" s="3" t="s">
        <v>253</v>
      </c>
      <c r="J818" s="13">
        <v>1950.0</v>
      </c>
      <c r="N818" s="3">
        <v>1300.0</v>
      </c>
      <c r="P818" s="4">
        <f t="shared" si="72"/>
        <v>2535</v>
      </c>
      <c r="S818" s="13"/>
    </row>
    <row r="819">
      <c r="A819" s="3">
        <v>2025.0</v>
      </c>
      <c r="B819" s="3" t="s">
        <v>173</v>
      </c>
      <c r="C819" s="1" t="s">
        <v>109</v>
      </c>
      <c r="F819" s="3" t="s">
        <v>26</v>
      </c>
      <c r="H819" s="3" t="s">
        <v>290</v>
      </c>
      <c r="J819" s="13">
        <v>495.0</v>
      </c>
      <c r="N819" s="3">
        <v>4780.0</v>
      </c>
      <c r="P819" s="4">
        <f t="shared" si="72"/>
        <v>2366.1</v>
      </c>
      <c r="S819" s="13"/>
    </row>
    <row r="820">
      <c r="A820" s="3">
        <v>2025.0</v>
      </c>
      <c r="B820" s="3" t="s">
        <v>173</v>
      </c>
      <c r="C820" s="1" t="s">
        <v>109</v>
      </c>
      <c r="F820" s="3" t="s">
        <v>26</v>
      </c>
      <c r="H820" s="3" t="s">
        <v>277</v>
      </c>
      <c r="J820" s="13">
        <v>290.0</v>
      </c>
      <c r="N820" s="3">
        <v>4980.0</v>
      </c>
      <c r="P820" s="4">
        <f t="shared" si="72"/>
        <v>1444.2</v>
      </c>
      <c r="S820" s="13"/>
    </row>
    <row r="821">
      <c r="A821" s="3">
        <v>2025.0</v>
      </c>
      <c r="B821" s="3" t="s">
        <v>173</v>
      </c>
      <c r="C821" s="1" t="s">
        <v>109</v>
      </c>
      <c r="F821" s="3" t="s">
        <v>26</v>
      </c>
      <c r="H821" s="3" t="s">
        <v>228</v>
      </c>
      <c r="J821" s="13">
        <v>605.0</v>
      </c>
      <c r="N821" s="3">
        <v>5780.0</v>
      </c>
      <c r="P821" s="4">
        <f t="shared" si="72"/>
        <v>3496.9</v>
      </c>
      <c r="S821" s="13"/>
    </row>
    <row r="822">
      <c r="A822" s="3">
        <v>2025.0</v>
      </c>
      <c r="B822" s="3" t="s">
        <v>173</v>
      </c>
      <c r="C822" s="1" t="s">
        <v>109</v>
      </c>
      <c r="F822" s="3" t="s">
        <v>26</v>
      </c>
      <c r="H822" s="3" t="s">
        <v>223</v>
      </c>
      <c r="J822" s="13">
        <v>270.0</v>
      </c>
      <c r="N822" s="3">
        <v>7580.0</v>
      </c>
      <c r="P822" s="4">
        <f t="shared" si="72"/>
        <v>2046.6</v>
      </c>
      <c r="S822" s="13"/>
    </row>
    <row r="823">
      <c r="A823" s="3">
        <v>2025.0</v>
      </c>
      <c r="B823" s="3" t="s">
        <v>173</v>
      </c>
      <c r="C823" s="1" t="s">
        <v>109</v>
      </c>
      <c r="F823" s="3" t="s">
        <v>26</v>
      </c>
      <c r="H823" s="3" t="s">
        <v>227</v>
      </c>
      <c r="J823" s="13">
        <v>1140.0</v>
      </c>
      <c r="N823" s="3">
        <v>3700.0</v>
      </c>
      <c r="P823" s="4">
        <f t="shared" si="72"/>
        <v>4218</v>
      </c>
      <c r="S823" s="13"/>
    </row>
    <row r="824">
      <c r="A824" s="5" t="s">
        <v>12</v>
      </c>
      <c r="F824" s="6"/>
      <c r="G824" s="6"/>
      <c r="H824" s="6"/>
      <c r="I824" s="6"/>
      <c r="J824" s="6"/>
      <c r="K824" s="6"/>
      <c r="L824" s="6"/>
      <c r="M824" s="6"/>
      <c r="N824" s="6"/>
      <c r="O824" s="10" t="str">
        <f>CHANGE(P771,P824)</f>
        <v>#NAME?</v>
      </c>
      <c r="P824" s="7">
        <f>SUM(P792:P823)</f>
        <v>343024.88</v>
      </c>
    </row>
    <row r="825">
      <c r="A825" s="3">
        <v>2025.0</v>
      </c>
      <c r="B825" s="3" t="s">
        <v>169</v>
      </c>
      <c r="C825" s="1" t="s">
        <v>14</v>
      </c>
      <c r="F825" s="3" t="s">
        <v>26</v>
      </c>
      <c r="H825" s="3" t="s">
        <v>290</v>
      </c>
      <c r="J825" s="13">
        <v>515.0</v>
      </c>
      <c r="N825" s="3">
        <v>5200.0</v>
      </c>
      <c r="P825" s="4">
        <f t="shared" ref="P825:P832" si="73">N825*J825/1000</f>
        <v>2678</v>
      </c>
      <c r="S825" s="13"/>
    </row>
    <row r="826">
      <c r="A826" s="3">
        <v>2025.0</v>
      </c>
      <c r="B826" s="3" t="s">
        <v>169</v>
      </c>
      <c r="C826" s="1" t="s">
        <v>14</v>
      </c>
      <c r="F826" s="3" t="s">
        <v>26</v>
      </c>
      <c r="H826" s="3" t="s">
        <v>226</v>
      </c>
      <c r="J826" s="13">
        <v>2665.0</v>
      </c>
      <c r="N826" s="3">
        <v>1980.0</v>
      </c>
      <c r="P826" s="4">
        <f t="shared" si="73"/>
        <v>5276.7</v>
      </c>
      <c r="S826" s="13"/>
    </row>
    <row r="827">
      <c r="A827" s="3">
        <v>2025.0</v>
      </c>
      <c r="B827" s="3" t="s">
        <v>169</v>
      </c>
      <c r="C827" s="1" t="s">
        <v>14</v>
      </c>
      <c r="F827" s="3" t="s">
        <v>26</v>
      </c>
      <c r="H827" s="3" t="s">
        <v>223</v>
      </c>
      <c r="J827" s="13">
        <v>275.0</v>
      </c>
      <c r="N827" s="3">
        <v>7980.0</v>
      </c>
      <c r="P827" s="4">
        <f t="shared" si="73"/>
        <v>2194.5</v>
      </c>
      <c r="S827" s="13"/>
    </row>
    <row r="828">
      <c r="A828" s="3">
        <v>2025.0</v>
      </c>
      <c r="B828" s="3" t="s">
        <v>169</v>
      </c>
      <c r="C828" s="1" t="s">
        <v>14</v>
      </c>
      <c r="F828" s="3" t="s">
        <v>26</v>
      </c>
      <c r="H828" s="3" t="s">
        <v>277</v>
      </c>
      <c r="J828" s="13">
        <v>240.0</v>
      </c>
      <c r="N828" s="3">
        <v>4980.0</v>
      </c>
      <c r="P828" s="4">
        <f t="shared" si="73"/>
        <v>1195.2</v>
      </c>
      <c r="S828" s="13"/>
    </row>
    <row r="829">
      <c r="A829" s="3">
        <v>2025.0</v>
      </c>
      <c r="B829" s="3" t="s">
        <v>169</v>
      </c>
      <c r="C829" s="1" t="s">
        <v>14</v>
      </c>
      <c r="F829" s="3" t="s">
        <v>26</v>
      </c>
      <c r="H829" s="3" t="s">
        <v>226</v>
      </c>
      <c r="J829" s="13">
        <v>1080.0</v>
      </c>
      <c r="N829" s="3">
        <v>1980.0</v>
      </c>
      <c r="P829" s="4">
        <f t="shared" si="73"/>
        <v>2138.4</v>
      </c>
      <c r="S829" s="13"/>
    </row>
    <row r="830">
      <c r="A830" s="3">
        <v>2025.0</v>
      </c>
      <c r="B830" s="3" t="s">
        <v>169</v>
      </c>
      <c r="C830" s="1" t="s">
        <v>14</v>
      </c>
      <c r="F830" s="3" t="s">
        <v>26</v>
      </c>
      <c r="H830" s="3" t="s">
        <v>228</v>
      </c>
      <c r="J830" s="13">
        <v>1605.0</v>
      </c>
      <c r="N830" s="3">
        <v>5780.0</v>
      </c>
      <c r="P830" s="4">
        <f t="shared" si="73"/>
        <v>9276.9</v>
      </c>
      <c r="S830" s="13"/>
    </row>
    <row r="831">
      <c r="A831" s="3">
        <v>2025.0</v>
      </c>
      <c r="B831" s="3" t="s">
        <v>169</v>
      </c>
      <c r="C831" s="1" t="s">
        <v>14</v>
      </c>
      <c r="F831" s="3" t="s">
        <v>26</v>
      </c>
      <c r="H831" s="3" t="s">
        <v>304</v>
      </c>
      <c r="J831" s="13">
        <v>740.0</v>
      </c>
      <c r="N831" s="3">
        <v>2580.0</v>
      </c>
      <c r="P831" s="4">
        <f t="shared" si="73"/>
        <v>1909.2</v>
      </c>
      <c r="S831" s="13"/>
    </row>
    <row r="832">
      <c r="A832" s="3">
        <v>2025.0</v>
      </c>
      <c r="B832" s="3" t="s">
        <v>169</v>
      </c>
      <c r="C832" s="1" t="s">
        <v>14</v>
      </c>
      <c r="F832" s="3" t="s">
        <v>26</v>
      </c>
      <c r="H832" s="3" t="s">
        <v>227</v>
      </c>
      <c r="J832" s="13">
        <v>1250.0</v>
      </c>
      <c r="N832" s="3">
        <v>3700.0</v>
      </c>
      <c r="P832" s="4">
        <f t="shared" si="73"/>
        <v>4625</v>
      </c>
      <c r="S832" s="13"/>
    </row>
    <row r="833">
      <c r="A833" s="3">
        <v>2025.0</v>
      </c>
      <c r="B833" s="3" t="s">
        <v>169</v>
      </c>
      <c r="C833" s="1" t="s">
        <v>14</v>
      </c>
      <c r="F833" s="3" t="s">
        <v>26</v>
      </c>
      <c r="H833" s="3" t="s">
        <v>305</v>
      </c>
      <c r="L833" s="3">
        <v>1.0</v>
      </c>
      <c r="N833" s="3">
        <v>1990.0</v>
      </c>
      <c r="P833" s="4">
        <f t="shared" ref="P833:P839" si="74">N833*L833</f>
        <v>1990</v>
      </c>
    </row>
    <row r="834">
      <c r="A834" s="3">
        <v>2025.0</v>
      </c>
      <c r="B834" s="3" t="s">
        <v>169</v>
      </c>
      <c r="C834" s="1" t="s">
        <v>14</v>
      </c>
      <c r="F834" s="3" t="s">
        <v>26</v>
      </c>
      <c r="H834" s="3" t="s">
        <v>234</v>
      </c>
      <c r="L834" s="3">
        <v>1.0</v>
      </c>
      <c r="N834" s="3">
        <v>15990.0</v>
      </c>
      <c r="P834" s="4">
        <f t="shared" si="74"/>
        <v>15990</v>
      </c>
    </row>
    <row r="835">
      <c r="A835" s="3">
        <v>2025.0</v>
      </c>
      <c r="B835" s="3" t="s">
        <v>169</v>
      </c>
      <c r="C835" s="1" t="s">
        <v>14</v>
      </c>
      <c r="F835" s="3" t="s">
        <v>26</v>
      </c>
      <c r="H835" s="3" t="s">
        <v>234</v>
      </c>
      <c r="L835" s="3">
        <v>1.0</v>
      </c>
      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     </c>
      <c r="C836" s="1" t="s">
        <v>14</v>
      </c>
      <c r="F836" s="3" t="s">
        <v>26</v>
      </c>
      <c r="H836" s="3" t="s">
        <v>266</v>
      </c>
      <c r="L836" s="3">
        <v>1.0</v>
      </c>
      <c r="N836" s="3">
        <v>1990.0</v>
      </c>
      <c r="P836" s="4">
        <f t="shared" si="74"/>
        <v>1990</v>
      </c>
    </row>
    <row r="837">
      <c r="A837" s="3">
        <v>2025.0</v>
      </c>
      <c r="B837" s="3" t="s">
        <v>169</v>
      </c>
      <c r="C837" s="1" t="s">
        <v>14</v>
      </c>
      <c r="F837" s="3" t="s">
        <v>26</v>
      </c>
      <c r="H837" s="3" t="s">
        <v>251</v>
      </c>
      <c r="L837" s="3">
        <v>1.0</v>
      </c>
      <c r="N837" s="3">
        <v>2800.0</v>
      </c>
      <c r="P837" s="4">
        <f t="shared" si="74"/>
        <v>2800</v>
      </c>
    </row>
    <row r="838">
      <c r="A838" s="3">
        <v>2025.0</v>
      </c>
      <c r="B838" s="3" t="s">
        <v>169</v>
      </c>
      <c r="C838" s="1" t="s">
        <v>14</v>
      </c>
      <c r="F838" s="3" t="s">
        <v>26</v>
      </c>
      <c r="H838" s="3" t="s">
        <v>236</v>
      </c>
      <c r="L838" s="3">
        <v>1.0</v>
      </c>
      <c r="N838" s="3">
        <v>4190.0</v>
      </c>
      <c r="P838" s="4">
        <f t="shared" si="74"/>
        <v>4190</v>
      </c>
    </row>
    <row r="839">
      <c r="A839" s="3">
        <v>2025.0</v>
      </c>
      <c r="B839" s="3" t="s">
        <v>169</v>
      </c>
      <c r="C839" s="1" t="s">
        <v>14</v>
      </c>
      <c r="F839" s="3" t="s">
        <v>26</v>
      </c>
      <c r="H839" s="3" t="s">
        <v>268</v>
      </c>
      <c r="L839" s="3">
        <v>1.0</v>
      </c>
      <c r="N839" s="3">
        <v>1890.0</v>
      </c>
      <c r="P839" s="4">
        <f t="shared" si="74"/>
        <v>1890</v>
      </c>
    </row>
    <row r="840">
      <c r="A840" s="3">
        <v>2025.0</v>
      </c>
      <c r="B840" s="3" t="s">
        <v>169</v>
      </c>
      <c r="C840" s="1" t="s">
        <v>14</v>
      </c>
      <c r="F840" s="3" t="s">
        <v>26</v>
      </c>
      <c r="H840" s="3" t="s">
        <v>216</v>
      </c>
      <c r="J840" s="13">
        <v>1100.0</v>
      </c>
      <c r="N840" s="3">
        <v>2980.0</v>
      </c>
      <c r="P840" s="4">
        <f t="shared" ref="P840:P841" si="75">N840*J840/1000</f>
        <v>3278</v>
      </c>
      <c r="S840" s="13"/>
    </row>
    <row r="841">
      <c r="A841" s="3">
        <v>2025.0</v>
      </c>
      <c r="B841" s="3" t="s">
        <v>169</v>
      </c>
      <c r="C841" s="1" t="s">
        <v>14</v>
      </c>
      <c r="F841" s="3" t="s">
        <v>26</v>
      </c>
      <c r="H841" s="3" t="s">
        <v>304</v>
      </c>
      <c r="J841" s="13">
        <v>540.0</v>
      </c>
      <c r="N841" s="3">
        <v>2580.0</v>
      </c>
      <c r="P841" s="4">
        <f t="shared" si="75"/>
        <v>1393.2</v>
      </c>
      <c r="S841" s="13"/>
    </row>
    <row r="842">
      <c r="A842" s="3">
        <v>2025.0</v>
      </c>
      <c r="B842" s="3" t="s">
        <v>169</v>
      </c>
      <c r="C842" s="1" t="s">
        <v>14</v>
      </c>
      <c r="F842" s="3" t="s">
        <v>26</v>
      </c>
      <c r="H842" s="3" t="s">
        <v>232</v>
      </c>
      <c r="L842" s="3">
        <v>1.0</v>
      </c>
      <c r="N842" s="3">
        <v>1500.0</v>
      </c>
      <c r="P842" s="4">
        <f t="shared" ref="P842:P845" si="76">N842*L842</f>
        <v>1500</v>
      </c>
    </row>
    <row r="843">
      <c r="A843" s="3">
        <v>2025.0</v>
      </c>
      <c r="B843" s="3" t="s">
        <v>169</v>
      </c>
      <c r="C843" s="1" t="s">
        <v>14</v>
      </c>
      <c r="F843" s="3" t="s">
        <v>26</v>
      </c>
      <c r="H843" s="3" t="s">
        <v>293</v>
      </c>
      <c r="L843" s="3">
        <v>1.0</v>
      </c>
      <c r="N843" s="3">
        <v>7990.0</v>
      </c>
      <c r="P843" s="4">
        <f t="shared" si="76"/>
        <v>7990</v>
      </c>
    </row>
    <row r="844">
      <c r="A844" s="3">
        <v>2025.0</v>
      </c>
      <c r="B844" s="3" t="s">
        <v>169</v>
      </c>
      <c r="C844" s="1" t="s">
        <v>14</v>
      </c>
      <c r="F844" s="3" t="s">
        <v>26</v>
      </c>
      <c r="H844" s="3" t="s">
        <v>306</v>
      </c>
      <c r="L844" s="3">
        <v>1.0</v>
      </c>
      <c r="N844" s="3">
        <v>14350.0</v>
      </c>
      <c r="P844" s="4">
        <f t="shared" si="76"/>
        <v>14350</v>
      </c>
    </row>
    <row r="845">
      <c r="A845" s="3">
        <v>2025.0</v>
      </c>
      <c r="B845" s="3" t="s">
        <v>169</v>
      </c>
      <c r="C845" s="1" t="s">
        <v>14</v>
      </c>
      <c r="F845" s="3" t="s">
        <v>26</v>
      </c>
      <c r="H845" s="3" t="s">
        <v>248</v>
      </c>
      <c r="L845" s="3">
        <v>1.0</v>
      </c>
      <c r="N845" s="3">
        <v>19990.0</v>
      </c>
      <c r="P845" s="4">
        <f t="shared" si="76"/>
        <v>19990</v>
      </c>
    </row>
    <row r="846">
      <c r="A846" s="3">
        <v>2025.0</v>
      </c>
      <c r="B846" s="3" t="s">
        <v>169</v>
      </c>
      <c r="C846" s="1" t="s">
        <v>14</v>
      </c>
      <c r="F846" s="3" t="s">
        <v>26</v>
      </c>
      <c r="H846" s="3" t="s">
        <v>253</v>
      </c>
      <c r="J846" s="13">
        <v>2260.0</v>
      </c>
      <c r="N846" s="3">
        <v>900.0</v>
      </c>
      <c r="P846" s="4">
        <f t="shared" ref="P846:P866" si="77">N846*J846/1000</f>
        <v>2034</v>
      </c>
      <c r="S846" s="13"/>
    </row>
    <row r="847">
      <c r="A847" s="3">
        <v>2025.0</v>
      </c>
      <c r="B847" s="3" t="s">
        <v>169</v>
      </c>
      <c r="C847" s="1" t="s">
        <v>14</v>
      </c>
      <c r="F847" s="3" t="s">
        <v>26</v>
      </c>
      <c r="H847" s="3" t="s">
        <v>253</v>
      </c>
      <c r="J847" s="13">
        <v>2350.0</v>
      </c>
      <c r="N847" s="3">
        <v>900.0</v>
      </c>
      <c r="P847" s="4">
        <f t="shared" si="77"/>
        <v>2115</v>
      </c>
      <c r="S847" s="13"/>
    </row>
    <row r="848">
      <c r="A848" s="3">
        <v>2025.0</v>
      </c>
      <c r="B848" s="3" t="s">
        <v>169</v>
      </c>
      <c r="C848" s="1" t="s">
        <v>14</v>
      </c>
      <c r="F848" s="3" t="s">
        <v>26</v>
      </c>
      <c r="H848" s="3" t="s">
        <v>217</v>
      </c>
      <c r="J848" s="13">
        <v>2555.0</v>
      </c>
      <c r="N848" s="3">
        <v>2300.0</v>
      </c>
      <c r="P848" s="4">
        <f t="shared" si="77"/>
        <v>5876.5</v>
      </c>
      <c r="S848" s="13"/>
    </row>
    <row r="849">
      <c r="A849" s="3">
        <v>2025.0</v>
      </c>
      <c r="B849" s="3" t="s">
        <v>169</v>
      </c>
      <c r="C849" s="1" t="s">
        <v>14</v>
      </c>
      <c r="F849" s="3" t="s">
        <v>26</v>
      </c>
      <c r="H849" s="3" t="s">
        <v>240</v>
      </c>
      <c r="J849" s="13">
        <v>2975.0</v>
      </c>
      <c r="N849" s="3">
        <v>7980.0</v>
      </c>
      <c r="P849" s="4">
        <f t="shared" si="77"/>
        <v>23740.5</v>
      </c>
      <c r="S849" s="13"/>
    </row>
    <row r="850">
      <c r="A850" s="3">
        <v>2025.0</v>
      </c>
      <c r="B850" s="3" t="s">
        <v>169</v>
      </c>
      <c r="C850" s="1" t="s">
        <v>14</v>
      </c>
      <c r="F850" s="3" t="s">
        <v>26</v>
      </c>
      <c r="H850" s="3" t="s">
        <v>240</v>
      </c>
      <c r="J850" s="13">
        <v>2680.0</v>
      </c>
      <c r="N850" s="3">
        <v>7980.0</v>
      </c>
      <c r="P850" s="4">
        <f t="shared" si="77"/>
        <v>21386.4</v>
      </c>
      <c r="S850" s="13"/>
    </row>
    <row r="851">
      <c r="A851" s="3">
        <v>2025.0</v>
      </c>
      <c r="B851" s="3" t="s">
        <v>169</v>
      </c>
      <c r="C851" s="1" t="s">
        <v>14</v>
      </c>
      <c r="F851" s="3" t="s">
        <v>26</v>
      </c>
      <c r="H851" s="3" t="s">
        <v>307</v>
      </c>
      <c r="J851" s="13">
        <v>1145.0</v>
      </c>
      <c r="N851" s="3">
        <v>29980.0</v>
      </c>
      <c r="P851" s="4">
        <f t="shared" si="77"/>
        <v>34327.1</v>
      </c>
      <c r="S851" s="13"/>
    </row>
    <row r="852">
      <c r="A852" s="3">
        <v>2025.0</v>
      </c>
      <c r="B852" s="3" t="s">
        <v>169</v>
      </c>
      <c r="C852" s="1" t="s">
        <v>14</v>
      </c>
      <c r="F852" s="3" t="s">
        <v>26</v>
      </c>
      <c r="H852" s="3" t="s">
        <v>280</v>
      </c>
      <c r="J852" s="13">
        <v>1015.0</v>
      </c>
      <c r="N852" s="3">
        <v>32980.0</v>
      </c>
      <c r="P852" s="4">
        <f t="shared" si="77"/>
        <v>33474.7</v>
      </c>
      <c r="S852" s="13"/>
    </row>
    <row r="853">
      <c r="A853" s="3">
        <v>2025.0</v>
      </c>
      <c r="B853" s="3" t="s">
        <v>169</v>
      </c>
      <c r="C853" s="1" t="s">
        <v>14</v>
      </c>
      <c r="F853" s="3" t="s">
        <v>26</v>
      </c>
      <c r="H853" s="3" t="s">
        <v>259</v>
      </c>
      <c r="J853" s="13">
        <v>1200.0</v>
      </c>
      <c r="N853" s="3">
        <v>7980.0</v>
      </c>
      <c r="P853" s="4">
        <f t="shared" si="77"/>
        <v>9576</v>
      </c>
      <c r="S853" s="13"/>
    </row>
    <row r="854">
      <c r="A854" s="3">
        <v>2025.0</v>
      </c>
      <c r="B854" s="3" t="s">
        <v>169</v>
      </c>
      <c r="C854" s="1" t="s">
        <v>14</v>
      </c>
      <c r="F854" s="3" t="s">
        <v>26</v>
      </c>
      <c r="H854" s="3" t="s">
        <v>258</v>
      </c>
      <c r="J854" s="13">
        <v>1000.0</v>
      </c>
      <c r="N854" s="3">
        <v>26980.0</v>
      </c>
      <c r="P854" s="4">
        <f t="shared" si="77"/>
        <v>26980</v>
      </c>
      <c r="S854" s="13"/>
    </row>
    <row r="855">
      <c r="A855" s="3">
        <v>2025.0</v>
      </c>
      <c r="B855" s="3" t="s">
        <v>169</v>
      </c>
      <c r="C855" s="1" t="s">
        <v>14</v>
      </c>
      <c r="F855" s="3" t="s">
        <v>26</v>
      </c>
      <c r="H855" s="3" t="s">
        <v>260</v>
      </c>
      <c r="J855" s="13">
        <v>800.0</v>
      </c>
      <c r="N855" s="3">
        <v>15980.0</v>
      </c>
      <c r="P855" s="4">
        <f t="shared" si="77"/>
        <v>12784</v>
      </c>
      <c r="S855" s="13"/>
    </row>
    <row r="856">
      <c r="A856" s="3">
        <v>2025.0</v>
      </c>
      <c r="B856" s="3" t="s">
        <v>169</v>
      </c>
      <c r="C856" s="1" t="s">
        <v>14</v>
      </c>
      <c r="F856" s="3" t="s">
        <v>26</v>
      </c>
      <c r="H856" s="3" t="s">
        <v>260</v>
      </c>
      <c r="J856" s="13">
        <v>1035.0</v>
      </c>
      <c r="N856" s="3">
        <v>15980.0</v>
      </c>
      <c r="P856" s="4">
        <f t="shared" si="77"/>
        <v>16539.3</v>
      </c>
      <c r="S856" s="13"/>
    </row>
    <row r="857">
      <c r="A857" s="3">
        <v>2025.0</v>
      </c>
      <c r="B857" s="3" t="s">
        <v>169</v>
      </c>
      <c r="C857" s="1" t="s">
        <v>14</v>
      </c>
      <c r="F857" s="3" t="s">
        <v>26</v>
      </c>
      <c r="H857" s="3" t="s">
        <v>289</v>
      </c>
      <c r="J857" s="13">
        <v>900.0</v>
      </c>
      <c r="N857" s="3">
        <v>3780.0</v>
      </c>
      <c r="P857" s="4">
        <f t="shared" si="77"/>
        <v>3402</v>
      </c>
      <c r="S857" s="13"/>
    </row>
    <row r="858">
      <c r="A858" s="3">
        <v>2025.0</v>
      </c>
      <c r="B858" s="3" t="s">
        <v>169</v>
      </c>
      <c r="C858" s="1" t="s">
        <v>14</v>
      </c>
      <c r="F858" s="3" t="s">
        <v>26</v>
      </c>
      <c r="H858" s="3" t="s">
        <v>230</v>
      </c>
      <c r="J858" s="13">
        <v>590.0</v>
      </c>
      <c r="N858" s="3">
        <v>5100.0</v>
      </c>
      <c r="P858" s="4">
        <f t="shared" si="77"/>
        <v>3009</v>
      </c>
      <c r="S858" s="13"/>
    </row>
    <row r="859">
      <c r="A859" s="3">
        <v>2025.0</v>
      </c>
      <c r="B859" s="3" t="s">
        <v>169</v>
      </c>
      <c r="C859" s="1" t="s">
        <v>14</v>
      </c>
      <c r="F859" s="3" t="s">
        <v>26</v>
      </c>
      <c r="H859" s="3" t="s">
        <v>230</v>
      </c>
      <c r="J859" s="13">
        <v>465.0</v>
      </c>
      <c r="N859" s="3">
        <v>5100.0</v>
      </c>
      <c r="P859" s="4">
        <f t="shared" si="77"/>
        <v>2371.5</v>
      </c>
      <c r="S859" s="13"/>
    </row>
    <row r="860">
      <c r="A860" s="3">
        <v>2025.0</v>
      </c>
      <c r="B860" s="3" t="s">
        <v>169</v>
      </c>
      <c r="C860" s="1" t="s">
        <v>14</v>
      </c>
      <c r="F860" s="3" t="s">
        <v>26</v>
      </c>
      <c r="H860" s="3" t="s">
        <v>227</v>
      </c>
      <c r="J860" s="13">
        <v>1210.0</v>
      </c>
      <c r="N860" s="3">
        <v>3700.0</v>
      </c>
      <c r="P860" s="4">
        <f t="shared" si="77"/>
        <v>4477</v>
      </c>
      <c r="S860" s="13"/>
    </row>
    <row r="861">
      <c r="A861" s="3">
        <v>2025.0</v>
      </c>
      <c r="B861" s="3" t="s">
        <v>169</v>
      </c>
      <c r="C861" s="1" t="s">
        <v>14</v>
      </c>
      <c r="F861" s="3" t="s">
        <v>26</v>
      </c>
      <c r="H861" s="3" t="s">
        <v>308</v>
      </c>
      <c r="J861" s="13">
        <v>535.0</v>
      </c>
      <c r="N861" s="3">
        <v>1980.0</v>
      </c>
      <c r="P861" s="4">
        <f t="shared" si="77"/>
        <v>1059.3</v>
      </c>
      <c r="S861" s="13"/>
    </row>
    <row r="862">
      <c r="A862" s="3">
        <v>2025.0</v>
      </c>
      <c r="B862" s="3" t="s">
        <v>169</v>
      </c>
      <c r="C862" s="1" t="s">
        <v>14</v>
      </c>
      <c r="F862" s="3" t="s">
        <v>26</v>
      </c>
      <c r="H862" s="3" t="s">
        <v>218</v>
      </c>
      <c r="J862" s="13">
        <v>1960.0</v>
      </c>
      <c r="N862" s="3">
        <v>2380.0</v>
      </c>
      <c r="P862" s="4">
        <f t="shared" si="77"/>
        <v>4664.8</v>
      </c>
      <c r="S862" s="13"/>
    </row>
    <row r="863">
      <c r="A863" s="3">
        <v>2025.0</v>
      </c>
      <c r="B863" s="3" t="s">
        <v>169</v>
      </c>
      <c r="C863" s="1" t="s">
        <v>14</v>
      </c>
      <c r="F863" s="3" t="s">
        <v>26</v>
      </c>
      <c r="H863" s="3" t="s">
        <v>309</v>
      </c>
      <c r="J863" s="13">
        <v>745.0</v>
      </c>
      <c r="N863" s="3">
        <v>3180.0</v>
      </c>
      <c r="P863" s="4">
        <f t="shared" si="77"/>
        <v>2369.1</v>
      </c>
      <c r="S863" s="13"/>
    </row>
    <row r="864">
      <c r="A864" s="3">
        <v>2025.0</v>
      </c>
      <c r="B864" s="3" t="s">
        <v>169</v>
      </c>
      <c r="C864" s="1" t="s">
        <v>14</v>
      </c>
      <c r="F864" s="3" t="s">
        <v>26</v>
      </c>
      <c r="H864" s="3" t="s">
        <v>219</v>
      </c>
      <c r="J864" s="13">
        <v>790.0</v>
      </c>
      <c r="N864" s="3">
        <v>4180.0</v>
      </c>
      <c r="P864" s="4">
        <f t="shared" si="77"/>
        <v>3302.2</v>
      </c>
      <c r="S864" s="13"/>
    </row>
    <row r="865">
      <c r="A865" s="3">
        <v>2025.0</v>
      </c>
      <c r="B865" s="3" t="s">
        <v>169</v>
      </c>
      <c r="C865" s="1" t="s">
        <v>14</v>
      </c>
      <c r="F865" s="3" t="s">
        <v>26</v>
      </c>
      <c r="H865" s="3" t="s">
        <v>226</v>
      </c>
      <c r="J865" s="13">
        <v>530.0</v>
      </c>
      <c r="N865" s="3">
        <v>1980.0</v>
      </c>
      <c r="P865" s="4">
        <f t="shared" si="77"/>
        <v>1049.4</v>
      </c>
      <c r="S865" s="13"/>
    </row>
    <row r="866">
      <c r="A866" s="3">
        <v>2025.0</v>
      </c>
      <c r="B866" s="3" t="s">
        <v>169</v>
      </c>
      <c r="C866" s="1" t="s">
        <v>14</v>
      </c>
      <c r="F866" s="3" t="s">
        <v>26</v>
      </c>
      <c r="H866" s="3" t="s">
        <v>217</v>
      </c>
      <c r="J866" s="13">
        <v>1215.0</v>
      </c>
      <c r="N866" s="3">
        <v>2300.0</v>
      </c>
      <c r="P866" s="4">
        <f t="shared" si="77"/>
        <v>2794.5</v>
      </c>
      <c r="S866" s="13"/>
    </row>
    <row r="867">
      <c r="A867" s="5" t="s">
        <v>12</v>
      </c>
      <c r="F867" s="6"/>
      <c r="G867" s="6"/>
      <c r="H867" s="6"/>
      <c r="I867" s="6"/>
      <c r="J867" s="6"/>
      <c r="K867" s="6"/>
      <c r="L867" s="6"/>
      <c r="M867" s="6"/>
      <c r="N867" s="6"/>
      <c r="O867" s="10" t="str">
        <f>CHANGE(P814,P867)</f>
        <v>#NAME?</v>
      </c>
      <c r="P867" s="7">
        <f>SUM(P825:P866)</f>
        <v>339967.4</v>
      </c>
    </row>
    <row r="868">
      <c r="A868" s="3">
        <v>2025.0</v>
      </c>
      <c r="B868" s="3" t="s">
        <v>210</v>
      </c>
      <c r="C868" s="1" t="s">
        <v>14</v>
      </c>
      <c r="F868" s="3" t="s">
        <v>26</v>
      </c>
      <c r="H868" s="3" t="s">
        <v>258</v>
      </c>
      <c r="J868" s="13">
        <v>1080.0</v>
      </c>
      <c r="N868" s="3">
        <v>26980.0</v>
      </c>
      <c r="P868" s="4">
        <f t="shared" ref="P868:P891" si="78">N868*J868/1000</f>
        <v>29138.4</v>
      </c>
      <c r="S868" s="13"/>
    </row>
    <row r="869">
      <c r="A869" s="3">
        <v>2025.0</v>
      </c>
      <c r="B869" s="3" t="s">
        <v>210</v>
      </c>
      <c r="C869" s="1" t="s">
        <v>14</v>
      </c>
      <c r="F869" s="3" t="s">
        <v>26</v>
      </c>
      <c r="H869" s="3" t="s">
        <v>280</v>
      </c>
      <c r="J869" s="13">
        <v>1140.0</v>
      </c>
      <c r="N869" s="3">
        <v>34980.0</v>
      </c>
      <c r="P869" s="4">
        <f t="shared" si="78"/>
        <v>39877.2</v>
      </c>
      <c r="S869" s="13"/>
    </row>
    <row r="870">
      <c r="A870" s="3">
        <v>2025.0</v>
      </c>
      <c r="B870" s="3" t="s">
        <v>210</v>
      </c>
      <c r="C870" s="1" t="s">
        <v>14</v>
      </c>
      <c r="F870" s="3" t="s">
        <v>26</v>
      </c>
      <c r="H870" s="3" t="s">
        <v>271</v>
      </c>
      <c r="J870" s="13">
        <v>1080.0</v>
      </c>
      <c r="N870" s="3">
        <v>16980.0</v>
      </c>
      <c r="P870" s="4">
        <f t="shared" si="78"/>
        <v>18338.4</v>
      </c>
      <c r="S870" s="13"/>
    </row>
    <row r="871">
      <c r="A871" s="3">
        <v>2025.0</v>
      </c>
      <c r="B871" s="3" t="s">
        <v>210</v>
      </c>
      <c r="C871" s="1" t="s">
        <v>14</v>
      </c>
      <c r="F871" s="3" t="s">
        <v>26</v>
      </c>
      <c r="H871" s="3" t="s">
        <v>303</v>
      </c>
      <c r="J871" s="13">
        <v>1200.0</v>
      </c>
      <c r="N871" s="3">
        <v>33980.0</v>
      </c>
      <c r="P871" s="4">
        <f t="shared" si="78"/>
        <v>40776</v>
      </c>
      <c r="S871" s="13"/>
    </row>
    <row r="872">
      <c r="A872" s="3">
        <v>2025.0</v>
      </c>
      <c r="B872" s="3" t="s">
        <v>210</v>
      </c>
      <c r="C872" s="1" t="s">
        <v>14</v>
      </c>
      <c r="F872" s="3" t="s">
        <v>26</v>
      </c>
      <c r="H872" s="3" t="s">
        <v>258</v>
      </c>
      <c r="J872" s="13">
        <v>505.0</v>
      </c>
      <c r="N872" s="3">
        <v>26980.0</v>
      </c>
      <c r="P872" s="4">
        <f t="shared" si="78"/>
        <v>13624.9</v>
      </c>
      <c r="S872" s="13"/>
    </row>
    <row r="873">
      <c r="A873" s="3">
        <v>2025.0</v>
      </c>
      <c r="B873" s="3" t="s">
        <v>210</v>
      </c>
      <c r="C873" s="1" t="s">
        <v>14</v>
      </c>
      <c r="F873" s="3" t="s">
        <v>26</v>
      </c>
      <c r="H873" s="3" t="s">
        <v>240</v>
      </c>
      <c r="J873" s="13">
        <v>2920.0</v>
      </c>
      <c r="N873" s="3">
        <v>10980.0</v>
      </c>
      <c r="P873" s="4">
        <f t="shared" si="78"/>
        <v>32061.6</v>
      </c>
      <c r="S873" s="13"/>
    </row>
    <row r="874">
      <c r="A874" s="3">
        <v>2025.0</v>
      </c>
      <c r="B874" s="3" t="s">
        <v>210</v>
      </c>
      <c r="C874" s="1" t="s">
        <v>14</v>
      </c>
      <c r="F874" s="3" t="s">
        <v>26</v>
      </c>
      <c r="H874" s="3" t="s">
        <v>240</v>
      </c>
      <c r="J874" s="13">
        <v>2970.0</v>
      </c>
      <c r="N874" s="3">
        <v>10980.0</v>
      </c>
      <c r="P874" s="4">
        <f t="shared" si="78"/>
        <v>32610.6</v>
      </c>
      <c r="S874" s="13"/>
    </row>
    <row r="875">
      <c r="A875" s="3">
        <v>2025.0</v>
      </c>
      <c r="B875" s="3" t="s">
        <v>210</v>
      </c>
      <c r="C875" s="1" t="s">
        <v>14</v>
      </c>
      <c r="F875" s="3" t="s">
        <v>26</v>
      </c>
      <c r="H875" s="3" t="s">
        <v>217</v>
      </c>
      <c r="J875" s="13">
        <v>3810.0</v>
      </c>
      <c r="N875" s="3">
        <v>1980.0</v>
      </c>
      <c r="P875" s="4">
        <f t="shared" si="78"/>
        <v>7543.8</v>
      </c>
      <c r="S875" s="13"/>
    </row>
    <row r="876">
      <c r="A876" s="3">
        <v>2025.0</v>
      </c>
      <c r="B876" s="3" t="s">
        <v>210</v>
      </c>
      <c r="C876" s="1" t="s">
        <v>14</v>
      </c>
      <c r="F876" s="3" t="s">
        <v>26</v>
      </c>
      <c r="H876" s="3" t="s">
        <v>226</v>
      </c>
      <c r="J876" s="13">
        <v>3950.0</v>
      </c>
      <c r="N876" s="3">
        <v>2980.0</v>
      </c>
      <c r="P876" s="4">
        <f t="shared" si="78"/>
        <v>11771</v>
      </c>
      <c r="S876" s="13"/>
    </row>
    <row r="877">
      <c r="A877" s="3">
        <v>2025.0</v>
      </c>
      <c r="B877" s="3" t="s">
        <v>210</v>
      </c>
      <c r="C877" s="1" t="s">
        <v>14</v>
      </c>
      <c r="F877" s="3" t="s">
        <v>26</v>
      </c>
      <c r="H877" s="3" t="s">
        <v>228</v>
      </c>
      <c r="J877" s="13">
        <v>1540.0</v>
      </c>
      <c r="N877" s="3">
        <v>1980.0</v>
      </c>
      <c r="P877" s="4">
        <f t="shared" si="78"/>
        <v>3049.2</v>
      </c>
      <c r="S877" s="13"/>
    </row>
    <row r="878">
      <c r="A878" s="3">
        <v>2025.0</v>
      </c>
      <c r="B878" s="3" t="s">
        <v>210</v>
      </c>
      <c r="C878" s="1" t="s">
        <v>14</v>
      </c>
      <c r="F878" s="3" t="s">
        <v>26</v>
      </c>
      <c r="H878" s="3" t="s">
        <v>216</v>
      </c>
      <c r="J878" s="13">
        <v>1560.0</v>
      </c>
      <c r="N878" s="3">
        <v>3380.0</v>
      </c>
      <c r="P878" s="4">
        <f t="shared" si="78"/>
        <v>5272.8</v>
      </c>
      <c r="S878" s="13"/>
    </row>
    <row r="879">
      <c r="A879" s="3">
        <v>2025.0</v>
      </c>
      <c r="B879" s="3" t="s">
        <v>210</v>
      </c>
      <c r="C879" s="1" t="s">
        <v>14</v>
      </c>
      <c r="F879" s="3" t="s">
        <v>26</v>
      </c>
      <c r="H879" s="3" t="s">
        <v>230</v>
      </c>
      <c r="J879" s="13">
        <v>730.0</v>
      </c>
      <c r="N879" s="3">
        <v>5380.0</v>
      </c>
      <c r="P879" s="4">
        <f t="shared" si="78"/>
        <v>3927.4</v>
      </c>
      <c r="S879" s="13"/>
    </row>
    <row r="880">
      <c r="A880" s="3">
        <v>2025.0</v>
      </c>
      <c r="B880" s="3" t="s">
        <v>210</v>
      </c>
      <c r="C880" s="1" t="s">
        <v>14</v>
      </c>
      <c r="F880" s="3" t="s">
        <v>26</v>
      </c>
      <c r="H880" s="3" t="s">
        <v>230</v>
      </c>
      <c r="J880" s="13">
        <v>500.0</v>
      </c>
      <c r="N880" s="3">
        <v>5380.0</v>
      </c>
      <c r="P880" s="4">
        <f t="shared" si="78"/>
        <v>2690</v>
      </c>
      <c r="S880" s="13"/>
    </row>
    <row r="881">
      <c r="A881" s="3">
        <v>2025.0</v>
      </c>
      <c r="B881" s="3" t="s">
        <v>210</v>
      </c>
      <c r="C881" s="1" t="s">
        <v>14</v>
      </c>
      <c r="F881" s="3" t="s">
        <v>26</v>
      </c>
      <c r="H881" s="3" t="s">
        <v>227</v>
      </c>
      <c r="J881" s="13">
        <v>1920.0</v>
      </c>
      <c r="N881" s="3">
        <v>2100.0</v>
      </c>
      <c r="P881" s="4">
        <f t="shared" si="78"/>
        <v>4032</v>
      </c>
      <c r="S881" s="13"/>
    </row>
    <row r="882">
      <c r="A882" s="3">
        <v>2025.0</v>
      </c>
      <c r="B882" s="3" t="s">
        <v>210</v>
      </c>
      <c r="C882" s="1" t="s">
        <v>14</v>
      </c>
      <c r="F882" s="3" t="s">
        <v>26</v>
      </c>
      <c r="H882" s="3" t="s">
        <v>304</v>
      </c>
      <c r="J882" s="13">
        <v>820.0</v>
      </c>
      <c r="N882" s="3">
        <v>3780.0</v>
      </c>
      <c r="P882" s="4">
        <f t="shared" si="78"/>
        <v>3099.6</v>
      </c>
      <c r="S882" s="13"/>
    </row>
    <row r="883">
      <c r="A883" s="3">
        <v>2025.0</v>
      </c>
      <c r="B883" s="3" t="s">
        <v>210</v>
      </c>
      <c r="C883" s="1" t="s">
        <v>14</v>
      </c>
      <c r="F883" s="3" t="s">
        <v>26</v>
      </c>
      <c r="H883" s="3" t="s">
        <v>284</v>
      </c>
      <c r="J883" s="13">
        <v>730.0</v>
      </c>
      <c r="N883" s="3">
        <v>3980.0</v>
      </c>
      <c r="P883" s="4">
        <f t="shared" si="78"/>
        <v>2905.4</v>
      </c>
      <c r="S883" s="13"/>
    </row>
    <row r="884">
      <c r="A884" s="3">
        <v>2025.0</v>
      </c>
      <c r="B884" s="3" t="s">
        <v>210</v>
      </c>
      <c r="C884" s="1" t="s">
        <v>14</v>
      </c>
      <c r="F884" s="3" t="s">
        <v>26</v>
      </c>
      <c r="H884" s="3" t="s">
        <v>310</v>
      </c>
      <c r="J884" s="13">
        <v>480.0</v>
      </c>
      <c r="N884" s="3">
        <v>2500.0</v>
      </c>
      <c r="P884" s="4">
        <f t="shared" si="78"/>
        <v>1200</v>
      </c>
      <c r="S884" s="13"/>
    </row>
    <row r="885">
      <c r="A885" s="3">
        <v>2025.0</v>
      </c>
      <c r="B885" s="3" t="s">
        <v>210</v>
      </c>
      <c r="C885" s="1" t="s">
        <v>14</v>
      </c>
      <c r="F885" s="3" t="s">
        <v>26</v>
      </c>
      <c r="H885" s="3" t="s">
        <v>277</v>
      </c>
      <c r="J885" s="13">
        <v>280.0</v>
      </c>
      <c r="N885" s="3">
        <v>4980.0</v>
      </c>
      <c r="P885" s="4">
        <f t="shared" si="78"/>
        <v>1394.4</v>
      </c>
      <c r="S885" s="13"/>
    </row>
    <row r="886">
      <c r="A886" s="3">
        <v>2025.0</v>
      </c>
      <c r="B886" s="3" t="s">
        <v>210</v>
      </c>
      <c r="C886" s="1" t="s">
        <v>14</v>
      </c>
      <c r="F886" s="3" t="s">
        <v>26</v>
      </c>
      <c r="H886" s="3" t="s">
        <v>221</v>
      </c>
      <c r="J886" s="13">
        <v>1280.0</v>
      </c>
      <c r="N886" s="3">
        <v>7780.0</v>
      </c>
      <c r="P886" s="4">
        <f t="shared" si="78"/>
        <v>9958.4</v>
      </c>
      <c r="S886" s="13"/>
    </row>
    <row r="887">
      <c r="A887" s="3">
        <v>2025.0</v>
      </c>
      <c r="B887" s="3" t="s">
        <v>210</v>
      </c>
      <c r="C887" s="1" t="s">
        <v>14</v>
      </c>
      <c r="F887" s="3" t="s">
        <v>26</v>
      </c>
      <c r="H887" s="3" t="s">
        <v>308</v>
      </c>
      <c r="J887" s="13">
        <v>580.0</v>
      </c>
      <c r="N887" s="3">
        <v>2580.0</v>
      </c>
      <c r="P887" s="4">
        <f t="shared" si="78"/>
        <v>1496.4</v>
      </c>
      <c r="S887" s="13"/>
    </row>
    <row r="888">
      <c r="A888" s="3">
        <v>2025.0</v>
      </c>
      <c r="B888" s="3" t="s">
        <v>210</v>
      </c>
      <c r="C888" s="1" t="s">
        <v>14</v>
      </c>
      <c r="F888" s="3" t="s">
        <v>26</v>
      </c>
      <c r="H888" s="3" t="s">
        <v>218</v>
      </c>
      <c r="J888" s="13">
        <v>1680.0</v>
      </c>
      <c r="N888" s="3">
        <v>2780.0</v>
      </c>
      <c r="P888" s="4">
        <f t="shared" si="78"/>
        <v>4670.4</v>
      </c>
      <c r="S888" s="13"/>
    </row>
    <row r="889">
      <c r="A889" s="3">
        <v>2025.0</v>
      </c>
      <c r="B889" s="3" t="s">
        <v>210</v>
      </c>
      <c r="C889" s="1" t="s">
        <v>14</v>
      </c>
      <c r="F889" s="3" t="s">
        <v>26</v>
      </c>
      <c r="H889" s="3" t="s">
        <v>309</v>
      </c>
      <c r="J889" s="13">
        <v>680.0</v>
      </c>
      <c r="N889" s="3">
        <v>3380.0</v>
      </c>
      <c r="P889" s="4">
        <f t="shared" si="78"/>
        <v>2298.4</v>
      </c>
      <c r="S889" s="13"/>
    </row>
    <row r="890">
      <c r="A890" s="3">
        <v>2025.0</v>
      </c>
      <c r="B890" s="3" t="s">
        <v>210</v>
      </c>
      <c r="C890" s="1" t="s">
        <v>14</v>
      </c>
      <c r="F890" s="3" t="s">
        <v>26</v>
      </c>
      <c r="H890" s="3" t="s">
        <v>290</v>
      </c>
      <c r="J890" s="13">
        <v>460.0</v>
      </c>
      <c r="N890" s="3">
        <v>4400.0</v>
      </c>
      <c r="P890" s="4">
        <f t="shared" si="78"/>
        <v>2024</v>
      </c>
      <c r="S890" s="13"/>
    </row>
    <row r="891">
      <c r="A891" s="3">
        <v>2025.0</v>
      </c>
      <c r="B891" s="3" t="s">
        <v>210</v>
      </c>
      <c r="C891" s="1" t="s">
        <v>14</v>
      </c>
      <c r="F891" s="3" t="s">
        <v>26</v>
      </c>
      <c r="H891" s="3" t="s">
        <v>219</v>
      </c>
      <c r="J891" s="13">
        <v>490.0</v>
      </c>
      <c r="N891" s="3">
        <v>3180.0</v>
      </c>
      <c r="P891" s="4">
        <f t="shared" si="78"/>
        <v>1558.2</v>
      </c>
      <c r="S891" s="13"/>
    </row>
    <row r="892">
      <c r="A892" s="3">
        <v>2025.0</v>
      </c>
      <c r="B892" s="3" t="s">
        <v>210</v>
      </c>
      <c r="C892" s="1" t="s">
        <v>14</v>
      </c>
      <c r="F892" s="3" t="s">
        <v>26</v>
      </c>
      <c r="H892" s="3" t="s">
        <v>292</v>
      </c>
      <c r="L892" s="3">
        <v>1.0</v>
      </c>
      <c r="N892" s="3">
        <v>22990.0</v>
      </c>
      <c r="P892" s="4">
        <f>N892*L892</f>
        <v>22990</v>
      </c>
    </row>
    <row r="893">
      <c r="A893" s="3">
        <v>2025.0</v>
      </c>
      <c r="B893" s="3" t="s">
        <v>210</v>
      </c>
      <c r="C893" s="1" t="s">
        <v>14</v>
      </c>
      <c r="F893" s="3" t="s">
        <v>26</v>
      </c>
      <c r="H893" s="3" t="s">
        <v>311</v>
      </c>
      <c r="J893" s="13">
        <v>510.0</v>
      </c>
      <c r="N893" s="3">
        <v>17980.0</v>
      </c>
      <c r="P893" s="4">
        <f>N893*J893/1000</f>
        <v>9169.8</v>
      </c>
      <c r="S893" s="13"/>
    </row>
    <row r="894">
      <c r="A894" s="3">
        <v>2025.0</v>
      </c>
      <c r="B894" s="3" t="s">
        <v>210</v>
      </c>
      <c r="C894" s="1" t="s">
        <v>14</v>
      </c>
      <c r="F894" s="3" t="s">
        <v>26</v>
      </c>
      <c r="H894" s="3" t="s">
        <v>312</v>
      </c>
      <c r="L894" s="3">
        <v>1.0</v>
      </c>
      <c r="N894" s="3">
        <v>9200.0</v>
      </c>
      <c r="P894" s="4">
        <f t="shared" ref="P894:P908" si="79">N894*L894</f>
        <v>9200</v>
      </c>
    </row>
    <row r="895">
      <c r="A895" s="3">
        <v>2025.0</v>
      </c>
      <c r="B895" s="3" t="s">
        <v>210</v>
      </c>
      <c r="C895" s="1" t="s">
        <v>14</v>
      </c>
      <c r="F895" s="3" t="s">
        <v>26</v>
      </c>
      <c r="H895" s="3" t="s">
        <v>269</v>
      </c>
      <c r="L895" s="3">
        <v>1.0</v>
      </c>
      <c r="N895" s="3">
        <v>7150.0</v>
      </c>
      <c r="P895" s="4">
        <f t="shared" si="79"/>
        <v>7150</v>
      </c>
    </row>
    <row r="896">
      <c r="A896" s="3">
        <v>2025.0</v>
      </c>
      <c r="B896" s="3" t="s">
        <v>210</v>
      </c>
      <c r="C896" s="1" t="s">
        <v>14</v>
      </c>
      <c r="F896" s="3" t="s">
        <v>26</v>
      </c>
      <c r="H896" s="3" t="s">
        <v>266</v>
      </c>
      <c r="L896" s="3">
        <v>1.0</v>
      </c>
      <c r="N896" s="3">
        <v>1990.0</v>
      </c>
      <c r="P896" s="4">
        <f t="shared" si="79"/>
        <v>1990</v>
      </c>
    </row>
    <row r="897">
      <c r="A897" s="3">
        <v>2025.0</v>
      </c>
      <c r="B897" s="3" t="s">
        <v>210</v>
      </c>
      <c r="C897" s="1" t="s">
        <v>14</v>
      </c>
      <c r="F897" s="3" t="s">
        <v>26</v>
      </c>
      <c r="H897" s="3" t="s">
        <v>313</v>
      </c>
      <c r="L897" s="3">
        <v>1.0</v>
      </c>
      <c r="N897" s="3">
        <v>2950.0</v>
      </c>
      <c r="P897" s="4">
        <f t="shared" si="79"/>
        <v>2950</v>
      </c>
    </row>
    <row r="898">
      <c r="A898" s="3">
        <v>2025.0</v>
      </c>
      <c r="B898" s="3" t="s">
        <v>210</v>
      </c>
      <c r="C898" s="1" t="s">
        <v>14</v>
      </c>
      <c r="F898" s="3" t="s">
        <v>26</v>
      </c>
      <c r="H898" s="3" t="s">
        <v>314</v>
      </c>
      <c r="L898" s="3">
        <v>1.0</v>
      </c>
      <c r="N898" s="3">
        <v>5450.0</v>
      </c>
      <c r="P898" s="4">
        <f t="shared" si="79"/>
        <v>5450</v>
      </c>
    </row>
    <row r="899">
      <c r="A899" s="3">
        <v>2025.0</v>
      </c>
      <c r="B899" s="3" t="s">
        <v>210</v>
      </c>
      <c r="C899" s="1" t="s">
        <v>14</v>
      </c>
      <c r="F899" s="3" t="s">
        <v>26</v>
      </c>
      <c r="H899" s="3" t="s">
        <v>314</v>
      </c>
      <c r="L899" s="3">
        <v>1.0</v>
      </c>
      <c r="N899" s="3">
        <v>5450.0</v>
      </c>
      <c r="P899" s="4">
        <f t="shared" si="79"/>
        <v>5450</v>
      </c>
    </row>
    <row r="900">
      <c r="A900" s="3">
        <v>2025.0</v>
      </c>
      <c r="B900" s="3" t="s">
        <v>210</v>
      </c>
      <c r="C900" s="1" t="s">
        <v>14</v>
      </c>
      <c r="F900" s="3" t="s">
        <v>26</v>
      </c>
      <c r="H900" s="3" t="s">
        <v>314</v>
      </c>
      <c r="L900" s="3">
        <v>1.0</v>
      </c>
      <c r="N900" s="3">
        <v>5450.0</v>
      </c>
      <c r="P900" s="4">
        <f t="shared" si="79"/>
        <v>5450</v>
      </c>
    </row>
    <row r="901">
      <c r="A901" s="3">
        <v>2025.0</v>
      </c>
      <c r="B901" s="3" t="s">
        <v>210</v>
      </c>
      <c r="C901" s="1" t="s">
        <v>14</v>
      </c>
      <c r="F901" s="3" t="s">
        <v>26</v>
      </c>
      <c r="H901" s="3" t="s">
        <v>232</v>
      </c>
      <c r="L901" s="3">
        <v>1.0</v>
      </c>
      <c r="N901" s="3">
        <v>1500.0</v>
      </c>
      <c r="P901" s="4">
        <f t="shared" si="79"/>
        <v>1500</v>
      </c>
    </row>
    <row r="902">
      <c r="A902" s="3">
        <v>2025.0</v>
      </c>
      <c r="B902" s="3" t="s">
        <v>210</v>
      </c>
      <c r="C902" s="1" t="s">
        <v>14</v>
      </c>
      <c r="F902" s="3" t="s">
        <v>26</v>
      </c>
      <c r="H902" s="3" t="s">
        <v>232</v>
      </c>
      <c r="L902" s="3">
        <v>1.0</v>
      </c>
      <c r="N902" s="3">
        <v>1500.0</v>
      </c>
      <c r="P902" s="4">
        <f t="shared" si="79"/>
        <v>1500</v>
      </c>
    </row>
    <row r="903">
      <c r="A903" s="3">
        <v>2025.0</v>
      </c>
      <c r="B903" s="3" t="s">
        <v>210</v>
      </c>
      <c r="C903" s="1" t="s">
        <v>14</v>
      </c>
      <c r="F903" s="3" t="s">
        <v>26</v>
      </c>
      <c r="H903" s="3" t="s">
        <v>250</v>
      </c>
      <c r="L903" s="3">
        <v>1.0</v>
      </c>
      <c r="N903" s="3">
        <v>2500.0</v>
      </c>
      <c r="P903" s="4">
        <f t="shared" si="79"/>
        <v>2500</v>
      </c>
    </row>
    <row r="904">
      <c r="A904" s="3">
        <v>2025.0</v>
      </c>
      <c r="B904" s="3" t="s">
        <v>210</v>
      </c>
      <c r="C904" s="1" t="s">
        <v>14</v>
      </c>
      <c r="F904" s="3" t="s">
        <v>26</v>
      </c>
      <c r="H904" s="3" t="s">
        <v>236</v>
      </c>
      <c r="L904" s="3">
        <v>1.0</v>
      </c>
      <c r="N904" s="3">
        <v>3990.0</v>
      </c>
      <c r="P904" s="4">
        <f t="shared" si="79"/>
        <v>3990</v>
      </c>
    </row>
    <row r="905">
      <c r="A905" s="3">
        <v>2025.0</v>
      </c>
      <c r="B905" s="3" t="s">
        <v>210</v>
      </c>
      <c r="C905" s="1" t="s">
        <v>14</v>
      </c>
      <c r="F905" s="3" t="s">
        <v>26</v>
      </c>
      <c r="H905" s="3" t="s">
        <v>315</v>
      </c>
      <c r="L905" s="3">
        <v>1.0</v>
      </c>
      <c r="N905" s="3">
        <v>3150.0</v>
      </c>
      <c r="P905" s="4">
        <f t="shared" si="79"/>
        <v>3150</v>
      </c>
    </row>
    <row r="906">
      <c r="A906" s="3">
        <v>2025.0</v>
      </c>
      <c r="B906" s="3" t="s">
        <v>210</v>
      </c>
      <c r="C906" s="1" t="s">
        <v>14</v>
      </c>
      <c r="F906" s="3" t="s">
        <v>26</v>
      </c>
      <c r="H906" s="3" t="s">
        <v>315</v>
      </c>
      <c r="L906" s="3">
        <v>1.0</v>
      </c>
      <c r="N906" s="3">
        <v>3150.0</v>
      </c>
      <c r="P906" s="4">
        <f t="shared" si="79"/>
        <v>3150</v>
      </c>
    </row>
    <row r="907">
      <c r="A907" s="3">
        <v>2025.0</v>
      </c>
      <c r="B907" s="3" t="s">
        <v>210</v>
      </c>
      <c r="C907" s="1" t="s">
        <v>14</v>
      </c>
      <c r="F907" s="3" t="s">
        <v>26</v>
      </c>
      <c r="H907" s="3" t="s">
        <v>316</v>
      </c>
      <c r="L907" s="3">
        <v>1.0</v>
      </c>
      <c r="N907" s="3">
        <v>8900.0</v>
      </c>
      <c r="P907" s="4">
        <f t="shared" si="79"/>
        <v>8900</v>
      </c>
    </row>
    <row r="908">
      <c r="A908" s="3">
        <v>2025.0</v>
      </c>
      <c r="B908" s="3" t="s">
        <v>210</v>
      </c>
      <c r="C908" s="1" t="s">
        <v>14</v>
      </c>
      <c r="F908" s="3" t="s">
        <v>26</v>
      </c>
      <c r="H908" s="3" t="s">
        <v>316</v>
      </c>
      <c r="L908" s="3">
        <v>1.0</v>
      </c>
      <c r="N908" s="3">
        <v>8900.0</v>
      </c>
      <c r="P908" s="4">
        <f t="shared" si="79"/>
        <v>8900</v>
      </c>
    </row>
    <row r="909">
      <c r="A909" s="5" t="s">
        <v>12</v>
      </c>
      <c r="F909" s="6"/>
      <c r="G909" s="6"/>
      <c r="H909" s="6"/>
      <c r="I909" s="6"/>
      <c r="J909" s="6"/>
      <c r="K909" s="6"/>
      <c r="L909" s="6"/>
      <c r="M909" s="6"/>
      <c r="N909" s="6"/>
      <c r="O909" s="10" t="str">
        <f>CHANGE(P856,P909)</f>
        <v>#NAME?</v>
      </c>
      <c r="P909" s="7">
        <f>SUM(P868:P908)</f>
        <v>378708.3</v>
      </c>
      <c r="Q909" s="3" t="s">
        <v>317</v>
      </c>
    </row>
    <row r="910">
      <c r="A910" s="3">
        <v>2025.0</v>
      </c>
      <c r="B910" s="3" t="s">
        <v>210</v>
      </c>
      <c r="C910" s="1" t="s">
        <v>109</v>
      </c>
      <c r="F910" s="3" t="s">
        <v>26</v>
      </c>
      <c r="H910" s="3" t="s">
        <v>318</v>
      </c>
      <c r="L910" s="3">
        <v>1.0</v>
      </c>
      <c r="N910" s="3">
        <v>25990.0</v>
      </c>
      <c r="P910" s="4">
        <f t="shared" ref="P910:P914" si="80">N910*L910</f>
        <v>25990</v>
      </c>
    </row>
    <row r="911">
      <c r="A911" s="3">
        <v>2025.0</v>
      </c>
      <c r="B911" s="3" t="s">
        <v>210</v>
      </c>
      <c r="C911" s="1" t="s">
        <v>109</v>
      </c>
      <c r="F911" s="3" t="s">
        <v>26</v>
      </c>
      <c r="H911" s="3" t="s">
        <v>251</v>
      </c>
      <c r="L911" s="3">
        <v>1.0</v>
      </c>
      <c r="N911" s="3">
        <v>2680.0</v>
      </c>
      <c r="P911" s="4">
        <f t="shared" si="80"/>
        <v>2680</v>
      </c>
    </row>
    <row r="912">
      <c r="A912" s="3">
        <v>2025.0</v>
      </c>
      <c r="B912" s="3" t="s">
        <v>210</v>
      </c>
      <c r="C912" s="1" t="s">
        <v>109</v>
      </c>
      <c r="F912" s="3" t="s">
        <v>26</v>
      </c>
      <c r="H912" s="3" t="s">
        <v>236</v>
      </c>
      <c r="L912" s="3">
        <v>1.0</v>
      </c>
      <c r="N912" s="3">
        <v>3990.0</v>
      </c>
      <c r="P912" s="4">
        <f t="shared" si="80"/>
        <v>3990</v>
      </c>
    </row>
    <row r="913">
      <c r="A913" s="3">
        <v>2025.0</v>
      </c>
      <c r="B913" s="3" t="s">
        <v>210</v>
      </c>
      <c r="C913" s="1" t="s">
        <v>109</v>
      </c>
      <c r="F913" s="3" t="s">
        <v>26</v>
      </c>
      <c r="H913" s="3" t="s">
        <v>319</v>
      </c>
      <c r="L913" s="3">
        <v>1.0</v>
      </c>
      <c r="N913" s="3">
        <v>8990.0</v>
      </c>
      <c r="P913" s="4">
        <f t="shared" si="80"/>
        <v>8990</v>
      </c>
    </row>
    <row r="914">
      <c r="A914" s="3">
        <v>2025.0</v>
      </c>
      <c r="B914" s="3" t="s">
        <v>210</v>
      </c>
      <c r="C914" s="1" t="s">
        <v>109</v>
      </c>
      <c r="F914" s="3" t="s">
        <v>26</v>
      </c>
      <c r="H914" s="3" t="s">
        <v>320</v>
      </c>
      <c r="L914" s="3">
        <v>1.0</v>
      </c>
      <c r="N914" s="3">
        <v>22750.0</v>
      </c>
      <c r="P914" s="4">
        <f t="shared" si="80"/>
        <v>22750</v>
      </c>
    </row>
    <row r="915">
      <c r="A915" s="3">
        <v>2025.0</v>
      </c>
      <c r="B915" s="3" t="s">
        <v>210</v>
      </c>
      <c r="C915" s="1" t="s">
        <v>109</v>
      </c>
      <c r="F915" s="3" t="s">
        <v>26</v>
      </c>
      <c r="H915" s="3" t="s">
        <v>321</v>
      </c>
      <c r="J915" s="13">
        <v>964.0</v>
      </c>
      <c r="N915" s="3">
        <v>2380.0</v>
      </c>
      <c r="P915" s="4">
        <f t="shared" ref="P915:P916" si="81">N915*J915/1000</f>
        <v>2294.32</v>
      </c>
      <c r="S915" s="13"/>
    </row>
    <row r="916">
      <c r="A916" s="3">
        <v>2025.0</v>
      </c>
      <c r="B916" s="3" t="s">
        <v>210</v>
      </c>
      <c r="C916" s="1" t="s">
        <v>109</v>
      </c>
      <c r="F916" s="3" t="s">
        <v>26</v>
      </c>
      <c r="H916" s="3" t="s">
        <v>321</v>
      </c>
      <c r="J916" s="13">
        <v>2984.0</v>
      </c>
      <c r="N916" s="3">
        <v>2380.0</v>
      </c>
      <c r="P916" s="4">
        <f t="shared" si="81"/>
        <v>7101.92</v>
      </c>
      <c r="S916" s="13"/>
    </row>
    <row r="917">
      <c r="A917" s="3">
        <v>2025.0</v>
      </c>
      <c r="B917" s="3" t="s">
        <v>210</v>
      </c>
      <c r="C917" s="1" t="s">
        <v>109</v>
      </c>
      <c r="F917" s="3" t="s">
        <v>26</v>
      </c>
      <c r="H917" s="3" t="s">
        <v>322</v>
      </c>
      <c r="L917" s="3">
        <v>1.0</v>
      </c>
      <c r="N917" s="3">
        <v>5990.0</v>
      </c>
      <c r="P917" s="4">
        <f t="shared" ref="P917:P918" si="82">N917*L917</f>
        <v>5990</v>
      </c>
    </row>
    <row r="918">
      <c r="A918" s="3">
        <v>2025.0</v>
      </c>
      <c r="B918" s="3" t="s">
        <v>210</v>
      </c>
      <c r="C918" s="1" t="s">
        <v>109</v>
      </c>
      <c r="F918" s="3" t="s">
        <v>26</v>
      </c>
      <c r="H918" s="3" t="s">
        <v>322</v>
      </c>
      <c r="L918" s="3">
        <v>1.0</v>
      </c>
      <c r="N918" s="3">
        <v>5990.0</v>
      </c>
      <c r="P918" s="4">
        <f t="shared" si="82"/>
        <v>5990</v>
      </c>
    </row>
    <row r="919">
      <c r="A919" s="3">
        <v>2025.0</v>
      </c>
      <c r="B919" s="3" t="s">
        <v>210</v>
      </c>
      <c r="C919" s="1" t="s">
        <v>109</v>
      </c>
      <c r="F919" s="3" t="s">
        <v>26</v>
      </c>
      <c r="H919" s="3" t="s">
        <v>323</v>
      </c>
      <c r="J919" s="13">
        <v>1206.0</v>
      </c>
      <c r="N919" s="3">
        <v>2580.0</v>
      </c>
      <c r="P919" s="4">
        <f t="shared" ref="P919:P936" si="83">N919*J919/1000</f>
        <v>3111.48</v>
      </c>
      <c r="S919" s="13"/>
    </row>
    <row r="920">
      <c r="A920" s="3">
        <v>2025.0</v>
      </c>
      <c r="B920" s="3" t="s">
        <v>210</v>
      </c>
      <c r="C920" s="1" t="s">
        <v>109</v>
      </c>
      <c r="F920" s="3" t="s">
        <v>26</v>
      </c>
      <c r="H920" s="3" t="s">
        <v>311</v>
      </c>
      <c r="J920" s="13">
        <v>598.0</v>
      </c>
      <c r="N920" s="3">
        <v>17980.0</v>
      </c>
      <c r="P920" s="4">
        <f t="shared" si="83"/>
        <v>10752.04</v>
      </c>
      <c r="S920" s="13"/>
    </row>
    <row r="921">
      <c r="A921" s="3">
        <v>2025.0</v>
      </c>
      <c r="B921" s="3" t="s">
        <v>210</v>
      </c>
      <c r="C921" s="1" t="s">
        <v>109</v>
      </c>
      <c r="F921" s="3" t="s">
        <v>26</v>
      </c>
      <c r="H921" s="3" t="s">
        <v>290</v>
      </c>
      <c r="J921" s="13">
        <v>486.0</v>
      </c>
      <c r="N921" s="3">
        <v>2100.0</v>
      </c>
      <c r="P921" s="4">
        <f t="shared" si="83"/>
        <v>1020.6</v>
      </c>
      <c r="S921" s="13"/>
    </row>
    <row r="922">
      <c r="A922" s="3">
        <v>2025.0</v>
      </c>
      <c r="B922" s="3" t="s">
        <v>210</v>
      </c>
      <c r="C922" s="1" t="s">
        <v>109</v>
      </c>
      <c r="F922" s="3" t="s">
        <v>26</v>
      </c>
      <c r="H922" s="3" t="s">
        <v>228</v>
      </c>
      <c r="J922" s="13">
        <v>866.0</v>
      </c>
      <c r="N922" s="3">
        <v>1980.0</v>
      </c>
      <c r="P922" s="4">
        <f t="shared" si="83"/>
        <v>1714.68</v>
      </c>
      <c r="S922" s="13"/>
    </row>
    <row r="923">
      <c r="A923" s="3">
        <v>2025.0</v>
      </c>
      <c r="B923" s="3" t="s">
        <v>210</v>
      </c>
      <c r="C923" s="1" t="s">
        <v>109</v>
      </c>
      <c r="F923" s="3" t="s">
        <v>26</v>
      </c>
      <c r="H923" s="3" t="s">
        <v>228</v>
      </c>
      <c r="J923" s="13">
        <v>518.0</v>
      </c>
      <c r="N923" s="3">
        <v>1980.0</v>
      </c>
      <c r="P923" s="4">
        <f t="shared" si="83"/>
        <v>1025.64</v>
      </c>
      <c r="S923" s="13"/>
    </row>
    <row r="924">
      <c r="A924" s="3">
        <v>2025.0</v>
      </c>
      <c r="B924" s="3" t="s">
        <v>210</v>
      </c>
      <c r="C924" s="1" t="s">
        <v>109</v>
      </c>
      <c r="F924" s="3" t="s">
        <v>26</v>
      </c>
      <c r="H924" s="3" t="s">
        <v>218</v>
      </c>
      <c r="J924" s="13">
        <v>1674.0</v>
      </c>
      <c r="N924" s="3">
        <v>2580.0</v>
      </c>
      <c r="P924" s="4">
        <f t="shared" si="83"/>
        <v>4318.92</v>
      </c>
      <c r="S924" s="13"/>
    </row>
    <row r="925">
      <c r="A925" s="3">
        <v>2025.0</v>
      </c>
      <c r="B925" s="3" t="s">
        <v>210</v>
      </c>
      <c r="C925" s="1" t="s">
        <v>109</v>
      </c>
      <c r="F925" s="3" t="s">
        <v>26</v>
      </c>
      <c r="H925" s="3" t="s">
        <v>240</v>
      </c>
      <c r="J925" s="13">
        <v>2410.0</v>
      </c>
      <c r="N925" s="3">
        <v>7980.0</v>
      </c>
      <c r="P925" s="4">
        <f t="shared" si="83"/>
        <v>19231.8</v>
      </c>
      <c r="S925" s="13"/>
    </row>
    <row r="926">
      <c r="A926" s="3">
        <v>2025.0</v>
      </c>
      <c r="B926" s="3" t="s">
        <v>210</v>
      </c>
      <c r="C926" s="1" t="s">
        <v>109</v>
      </c>
      <c r="F926" s="3" t="s">
        <v>26</v>
      </c>
      <c r="H926" s="3" t="s">
        <v>240</v>
      </c>
      <c r="J926" s="13">
        <v>2560.0</v>
      </c>
      <c r="N926" s="3">
        <v>7980.0</v>
      </c>
      <c r="P926" s="4">
        <f t="shared" si="83"/>
        <v>20428.8</v>
      </c>
      <c r="S926" s="13"/>
    </row>
    <row r="927">
      <c r="A927" s="3">
        <v>2025.0</v>
      </c>
      <c r="B927" s="3" t="s">
        <v>210</v>
      </c>
      <c r="C927" s="1" t="s">
        <v>109</v>
      </c>
      <c r="F927" s="3" t="s">
        <v>26</v>
      </c>
      <c r="H927" s="3" t="s">
        <v>260</v>
      </c>
      <c r="J927" s="13">
        <v>760.0</v>
      </c>
      <c r="N927" s="3">
        <v>17980.0</v>
      </c>
      <c r="P927" s="4">
        <f t="shared" si="83"/>
        <v>13664.8</v>
      </c>
      <c r="S927" s="13"/>
    </row>
    <row r="928">
      <c r="A928" s="3">
        <v>2025.0</v>
      </c>
      <c r="B928" s="3" t="s">
        <v>210</v>
      </c>
      <c r="C928" s="1" t="s">
        <v>109</v>
      </c>
      <c r="F928" s="3" t="s">
        <v>26</v>
      </c>
      <c r="H928" s="3" t="s">
        <v>258</v>
      </c>
      <c r="J928" s="13">
        <v>950.0</v>
      </c>
      <c r="N928" s="3">
        <v>26980.0</v>
      </c>
      <c r="P928" s="4">
        <f t="shared" si="83"/>
        <v>25631</v>
      </c>
      <c r="S928" s="13"/>
    </row>
    <row r="929">
      <c r="A929" s="3">
        <v>2025.0</v>
      </c>
      <c r="B929" s="3" t="s">
        <v>210</v>
      </c>
      <c r="C929" s="1" t="s">
        <v>109</v>
      </c>
      <c r="F929" s="3" t="s">
        <v>26</v>
      </c>
      <c r="H929" s="3" t="s">
        <v>271</v>
      </c>
      <c r="J929" s="13">
        <v>1050.0</v>
      </c>
      <c r="N929" s="3">
        <v>17580.0</v>
      </c>
      <c r="P929" s="4">
        <f t="shared" si="83"/>
        <v>18459</v>
      </c>
      <c r="S929" s="13"/>
    </row>
    <row r="930">
      <c r="A930" s="3">
        <v>2025.0</v>
      </c>
      <c r="B930" s="3" t="s">
        <v>210</v>
      </c>
      <c r="C930" s="1" t="s">
        <v>109</v>
      </c>
      <c r="F930" s="3" t="s">
        <v>26</v>
      </c>
      <c r="H930" s="3" t="s">
        <v>280</v>
      </c>
      <c r="J930" s="13">
        <v>1270.0</v>
      </c>
      <c r="N930" s="3">
        <v>34980.0</v>
      </c>
      <c r="P930" s="4">
        <f t="shared" si="83"/>
        <v>44424.6</v>
      </c>
      <c r="S930" s="13"/>
    </row>
    <row r="931">
      <c r="A931" s="3">
        <v>2025.0</v>
      </c>
      <c r="B931" s="3" t="s">
        <v>210</v>
      </c>
      <c r="C931" s="1" t="s">
        <v>109</v>
      </c>
      <c r="F931" s="3" t="s">
        <v>26</v>
      </c>
      <c r="H931" s="3" t="s">
        <v>297</v>
      </c>
      <c r="J931" s="13">
        <v>530.0</v>
      </c>
      <c r="N931" s="3">
        <v>18980.0</v>
      </c>
      <c r="P931" s="4">
        <f t="shared" si="83"/>
        <v>10059.4</v>
      </c>
      <c r="S931" s="13"/>
    </row>
    <row r="932">
      <c r="A932" s="3">
        <v>2025.0</v>
      </c>
      <c r="B932" s="3" t="s">
        <v>210</v>
      </c>
      <c r="C932" s="1" t="s">
        <v>109</v>
      </c>
      <c r="F932" s="3" t="s">
        <v>26</v>
      </c>
      <c r="H932" s="3" t="s">
        <v>226</v>
      </c>
      <c r="J932" s="13">
        <v>894.0</v>
      </c>
      <c r="N932" s="3">
        <v>3980.0</v>
      </c>
      <c r="P932" s="4">
        <f t="shared" si="83"/>
        <v>3558.12</v>
      </c>
      <c r="S932" s="13"/>
    </row>
    <row r="933">
      <c r="A933" s="3">
        <v>2025.0</v>
      </c>
      <c r="B933" s="3" t="s">
        <v>210</v>
      </c>
      <c r="C933" s="1" t="s">
        <v>109</v>
      </c>
      <c r="F933" s="3" t="s">
        <v>26</v>
      </c>
      <c r="H933" s="3" t="s">
        <v>226</v>
      </c>
      <c r="J933" s="13">
        <v>2820.0</v>
      </c>
      <c r="N933" s="3">
        <v>3980.0</v>
      </c>
      <c r="P933" s="4">
        <f t="shared" si="83"/>
        <v>11223.6</v>
      </c>
      <c r="S933" s="13"/>
    </row>
    <row r="934">
      <c r="A934" s="3">
        <v>2025.0</v>
      </c>
      <c r="B934" s="3" t="s">
        <v>210</v>
      </c>
      <c r="C934" s="1" t="s">
        <v>109</v>
      </c>
      <c r="F934" s="3" t="s">
        <v>26</v>
      </c>
      <c r="H934" s="3" t="s">
        <v>230</v>
      </c>
      <c r="J934" s="13">
        <v>482.0</v>
      </c>
      <c r="N934" s="3">
        <v>4900.0</v>
      </c>
      <c r="P934" s="4">
        <f t="shared" si="83"/>
        <v>2361.8</v>
      </c>
      <c r="S934" s="13"/>
    </row>
    <row r="935">
      <c r="A935" s="3">
        <v>2025.0</v>
      </c>
      <c r="B935" s="3" t="s">
        <v>210</v>
      </c>
      <c r="C935" s="1" t="s">
        <v>109</v>
      </c>
      <c r="F935" s="3" t="s">
        <v>26</v>
      </c>
      <c r="H935" s="3" t="s">
        <v>284</v>
      </c>
      <c r="J935" s="13">
        <v>568.0</v>
      </c>
      <c r="N935" s="3">
        <v>3780.0</v>
      </c>
      <c r="P935" s="4">
        <f t="shared" si="83"/>
        <v>2147.04</v>
      </c>
      <c r="S935" s="13"/>
    </row>
    <row r="936">
      <c r="A936" s="3">
        <v>2025.0</v>
      </c>
      <c r="B936" s="3" t="s">
        <v>210</v>
      </c>
      <c r="C936" s="1" t="s">
        <v>109</v>
      </c>
      <c r="F936" s="3" t="s">
        <v>26</v>
      </c>
      <c r="H936" s="3" t="s">
        <v>227</v>
      </c>
      <c r="J936" s="13">
        <v>1960.0</v>
      </c>
      <c r="N936" s="3">
        <v>2580.0</v>
      </c>
      <c r="P936" s="4">
        <f t="shared" si="83"/>
        <v>5056.8</v>
      </c>
      <c r="S936" s="13"/>
    </row>
    <row r="937">
      <c r="A937" s="3">
        <v>2025.0</v>
      </c>
      <c r="B937" s="3" t="s">
        <v>210</v>
      </c>
      <c r="C937" s="1" t="s">
        <v>109</v>
      </c>
      <c r="F937" s="3" t="s">
        <v>26</v>
      </c>
      <c r="H937" s="3" t="s">
        <v>298</v>
      </c>
      <c r="L937" s="3">
        <v>1.0</v>
      </c>
      <c r="N937" s="3">
        <v>1550.0</v>
      </c>
      <c r="P937" s="4">
        <f t="shared" ref="P937:P940" si="84">N937*L937</f>
        <v>1550</v>
      </c>
    </row>
    <row r="938">
      <c r="A938" s="3">
        <v>2025.0</v>
      </c>
      <c r="B938" s="3" t="s">
        <v>210</v>
      </c>
      <c r="C938" s="1" t="s">
        <v>109</v>
      </c>
      <c r="F938" s="3" t="s">
        <v>26</v>
      </c>
      <c r="H938" s="3" t="s">
        <v>266</v>
      </c>
      <c r="L938" s="3">
        <v>1.0</v>
      </c>
      <c r="N938" s="3">
        <v>1990.0</v>
      </c>
      <c r="P938" s="4">
        <f t="shared" si="84"/>
        <v>1990</v>
      </c>
    </row>
    <row r="939">
      <c r="A939" s="3">
        <v>2025.0</v>
      </c>
      <c r="B939" s="3" t="s">
        <v>210</v>
      </c>
      <c r="C939" s="1" t="s">
        <v>109</v>
      </c>
      <c r="F939" s="3" t="s">
        <v>26</v>
      </c>
      <c r="H939" s="3" t="s">
        <v>232</v>
      </c>
      <c r="L939" s="3">
        <v>1.0</v>
      </c>
      <c r="N939" s="3">
        <v>1500.0</v>
      </c>
      <c r="P939" s="4">
        <f t="shared" si="84"/>
        <v>1500</v>
      </c>
    </row>
    <row r="940">
      <c r="A940" s="3">
        <v>2025.0</v>
      </c>
      <c r="B940" s="3" t="s">
        <v>210</v>
      </c>
      <c r="C940" s="1" t="s">
        <v>109</v>
      </c>
      <c r="F940" s="3" t="s">
        <v>26</v>
      </c>
      <c r="H940" s="3" t="s">
        <v>232</v>
      </c>
      <c r="L940" s="3">
        <v>1.0</v>
      </c>
      <c r="N940" s="3">
        <v>1500.0</v>
      </c>
      <c r="P940" s="4">
        <f t="shared" si="84"/>
        <v>1500</v>
      </c>
    </row>
    <row r="941">
      <c r="A941" s="3">
        <v>2025.0</v>
      </c>
      <c r="B941" s="3" t="s">
        <v>210</v>
      </c>
      <c r="C941" s="1" t="s">
        <v>109</v>
      </c>
      <c r="F941" s="3" t="s">
        <v>26</v>
      </c>
      <c r="H941" s="3" t="s">
        <v>230</v>
      </c>
      <c r="J941" s="13">
        <v>630.0</v>
      </c>
      <c r="N941" s="3">
        <v>4900.0</v>
      </c>
      <c r="P941" s="4">
        <f t="shared" ref="P941:P944" si="85">N941*J941/1000</f>
        <v>3087</v>
      </c>
      <c r="S941" s="13"/>
    </row>
    <row r="942">
      <c r="A942" s="3">
        <v>2025.0</v>
      </c>
      <c r="B942" s="3" t="s">
        <v>210</v>
      </c>
      <c r="C942" s="1" t="s">
        <v>109</v>
      </c>
      <c r="F942" s="3" t="s">
        <v>26</v>
      </c>
      <c r="H942" s="3" t="s">
        <v>216</v>
      </c>
      <c r="J942" s="13">
        <v>1256.0</v>
      </c>
      <c r="N942" s="3">
        <v>3580.0</v>
      </c>
      <c r="P942" s="4">
        <f t="shared" si="85"/>
        <v>4496.48</v>
      </c>
      <c r="S942" s="13"/>
    </row>
    <row r="943">
      <c r="A943" s="3">
        <v>2025.0</v>
      </c>
      <c r="B943" s="3" t="s">
        <v>210</v>
      </c>
      <c r="C943" s="1" t="s">
        <v>109</v>
      </c>
      <c r="F943" s="3" t="s">
        <v>26</v>
      </c>
      <c r="H943" s="3" t="s">
        <v>285</v>
      </c>
      <c r="J943" s="13">
        <v>308.0</v>
      </c>
      <c r="N943" s="3">
        <v>3780.0</v>
      </c>
      <c r="P943" s="4">
        <f t="shared" si="85"/>
        <v>1164.24</v>
      </c>
      <c r="S943" s="13"/>
    </row>
    <row r="944">
      <c r="A944" s="3">
        <v>2025.0</v>
      </c>
      <c r="B944" s="3" t="s">
        <v>210</v>
      </c>
      <c r="C944" s="1" t="s">
        <v>109</v>
      </c>
      <c r="F944" s="3" t="s">
        <v>26</v>
      </c>
      <c r="H944" s="3" t="s">
        <v>277</v>
      </c>
      <c r="J944" s="13">
        <v>298.0</v>
      </c>
      <c r="N944" s="3">
        <v>5500.0</v>
      </c>
      <c r="P944" s="4">
        <f t="shared" si="85"/>
        <v>1639</v>
      </c>
      <c r="S944" s="13"/>
    </row>
    <row r="945">
      <c r="A945" s="3">
        <v>2025.0</v>
      </c>
      <c r="B945" s="3" t="s">
        <v>210</v>
      </c>
      <c r="C945" s="1" t="s">
        <v>109</v>
      </c>
      <c r="F945" s="3" t="s">
        <v>26</v>
      </c>
      <c r="H945" s="3" t="s">
        <v>324</v>
      </c>
      <c r="L945" s="3">
        <v>1.0</v>
      </c>
      <c r="N945" s="3">
        <v>9900.0</v>
      </c>
      <c r="P945" s="4">
        <f t="shared" ref="P945:P946" si="86">N945*L945</f>
        <v>9900</v>
      </c>
    </row>
    <row r="946">
      <c r="A946" s="3">
        <v>2025.0</v>
      </c>
      <c r="B946" s="3" t="s">
        <v>210</v>
      </c>
      <c r="C946" s="1" t="s">
        <v>109</v>
      </c>
      <c r="F946" s="3" t="s">
        <v>26</v>
      </c>
      <c r="H946" s="3" t="s">
        <v>324</v>
      </c>
      <c r="L946" s="3">
        <v>1.0</v>
      </c>
      <c r="N946" s="3">
        <v>9900.0</v>
      </c>
      <c r="P946" s="4">
        <f t="shared" si="86"/>
        <v>9900</v>
      </c>
    </row>
    <row r="947">
      <c r="A947" s="5" t="s">
        <v>12</v>
      </c>
      <c r="F947" s="6"/>
      <c r="G947" s="6"/>
      <c r="H947" s="6"/>
      <c r="I947" s="6"/>
      <c r="J947" s="6"/>
      <c r="K947" s="6"/>
      <c r="L947" s="6"/>
      <c r="M947" s="6"/>
      <c r="N947" s="6"/>
      <c r="O947" s="10" t="str">
        <f>CHANGE(P894,P947)</f>
        <v>#NAME?</v>
      </c>
      <c r="P947" s="7">
        <f>SUM(P910:P946)</f>
        <v>320693.08</v>
      </c>
    </row>
    <row r="948">
      <c r="C948" s="23"/>
      <c r="P948" s="14"/>
    </row>
    <row r="949">
      <c r="C949" s="23"/>
      <c r="P949" s="14"/>
    </row>
    <row r="950">
      <c r="C950" s="23"/>
      <c r="P950" s="14"/>
    </row>
    <row r="951">
      <c r="C951" s="23"/>
      <c r="P951" s="14"/>
    </row>
    <row r="952">
      <c r="C952" s="23"/>
      <c r="P952" s="14"/>
    </row>
    <row r="953">
      <c r="C953" s="23"/>
      <c r="P953" s="14"/>
    </row>
    <row r="954">
      <c r="C954" s="23"/>
      <c r="P954" s="14"/>
    </row>
    <row r="955">
      <c r="C955" s="23"/>
      <c r="P955" s="14"/>
    </row>
    <row r="956">
      <c r="C956" s="23"/>
      <c r="P956" s="14"/>
    </row>
    <row r="957">
      <c r="C957" s="23"/>
      <c r="P957" s="14"/>
    </row>
    <row r="958">
      <c r="C958" s="23"/>
      <c r="P958" s="14"/>
    </row>
    <row r="959">
      <c r="C959" s="23"/>
      <c r="P959" s="14"/>
    </row>
    <row r="960">
      <c r="C960" s="23"/>
      <c r="P960" s="14"/>
    </row>
    <row r="961">
      <c r="C961" s="23"/>
      <c r="P961" s="14"/>
    </row>
    <row r="962">
      <c r="C962" s="23"/>
      <c r="P962" s="14"/>
    </row>
    <row r="963">
      <c r="C963" s="23"/>
      <c r="P963" s="14"/>
    </row>
    <row r="964">
      <c r="C964" s="23"/>
      <c r="P964" s="14"/>
    </row>
    <row r="965">
      <c r="C965" s="23"/>
      <c r="P965" s="14"/>
    </row>
    <row r="966">
      <c r="C966" s="23"/>
      <c r="P966" s="14"/>
    </row>
    <row r="967">
      <c r="C967" s="23"/>
      <c r="P967" s="14"/>
    </row>
    <row r="968">
      <c r="C968" s="23"/>
      <c r="P968" s="14"/>
    </row>
    <row r="969">
      <c r="C969" s="23"/>
      <c r="P969" s="14"/>
    </row>
    <row r="970">
      <c r="C970" s="23"/>
      <c r="P970" s="14"/>
    </row>
    <row r="971">
      <c r="C971" s="23"/>
      <c r="P971" s="14"/>
    </row>
    <row r="972">
      <c r="C972" s="23"/>
      <c r="P972" s="14"/>
    </row>
    <row r="973">
      <c r="C973" s="23"/>
      <c r="P973" s="14"/>
    </row>
    <row r="974">
      <c r="C974" s="23"/>
      <c r="P974" s="14"/>
    </row>
    <row r="975">
      <c r="C975" s="23"/>
      <c r="P975" s="14"/>
    </row>
    <row r="976">
      <c r="C976" s="23"/>
      <c r="P976" s="14"/>
    </row>
    <row r="977">
      <c r="C977" s="23"/>
      <c r="P977" s="14"/>
    </row>
    <row r="978">
      <c r="C978" s="23"/>
      <c r="P978" s="14"/>
    </row>
    <row r="979">
      <c r="C979" s="23"/>
      <c r="P979" s="14"/>
    </row>
    <row r="980">
      <c r="C980" s="23"/>
      <c r="P980" s="14"/>
    </row>
    <row r="981">
      <c r="C981" s="23"/>
      <c r="P981" s="14"/>
    </row>
    <row r="982">
      <c r="C982" s="23"/>
      <c r="P982" s="14"/>
    </row>
    <row r="983">
      <c r="C983" s="23"/>
      <c r="P983" s="14"/>
    </row>
    <row r="984">
      <c r="C984" s="23"/>
      <c r="P984" s="14"/>
    </row>
    <row r="985">
      <c r="C985" s="23"/>
      <c r="P985" s="14"/>
    </row>
    <row r="986">
      <c r="C986" s="23"/>
      <c r="P986" s="14"/>
    </row>
    <row r="987">
      <c r="C987" s="23"/>
      <c r="P987" s="14"/>
    </row>
    <row r="988">
      <c r="C988" s="23"/>
      <c r="P988" s="14"/>
    </row>
    <row r="989">
      <c r="C989" s="23"/>
      <c r="P989" s="14"/>
    </row>
    <row r="990">
      <c r="C990" s="23"/>
      <c r="P990" s="14"/>
    </row>
  </sheetData>
  <autoFilter ref="$A$1:$AN$947"/>
  <mergeCells count="37">
    <mergeCell ref="A37:E37"/>
    <mergeCell ref="A56:E56"/>
    <mergeCell ref="A91:E91"/>
    <mergeCell ref="A122:E122"/>
    <mergeCell ref="A156:E156"/>
    <mergeCell ref="A168:E168"/>
    <mergeCell ref="A198:E198"/>
    <mergeCell ref="A209:E209"/>
    <mergeCell ref="A227:E227"/>
    <mergeCell ref="A244:E244"/>
    <mergeCell ref="A262:E262"/>
    <mergeCell ref="A282:E282"/>
    <mergeCell ref="A301:E301"/>
    <mergeCell ref="A319:E319"/>
    <mergeCell ref="A334:E334"/>
    <mergeCell ref="A349:E349"/>
    <mergeCell ref="A364:E364"/>
    <mergeCell ref="A383:E383"/>
    <mergeCell ref="A412:E412"/>
    <mergeCell ref="A425:E425"/>
    <mergeCell ref="A440:E440"/>
    <mergeCell ref="A456:E456"/>
    <mergeCell ref="A470:E470"/>
    <mergeCell ref="A483:E483"/>
    <mergeCell ref="A515:E515"/>
    <mergeCell ref="A553:E553"/>
    <mergeCell ref="A582:E582"/>
    <mergeCell ref="A617:E617"/>
    <mergeCell ref="A909:E909"/>
    <mergeCell ref="A947:E947"/>
    <mergeCell ref="A655:E655"/>
    <mergeCell ref="A688:E688"/>
    <mergeCell ref="A723:E723"/>
    <mergeCell ref="A758:E758"/>
    <mergeCell ref="A791:E791"/>
    <mergeCell ref="A824:E824"/>
    <mergeCell ref="A867:E867"/>
  </mergeCells>
  <drawing r:id="rId1"/>
</worksheet>
</file>