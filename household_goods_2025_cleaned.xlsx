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_household_goods_2025_cleaned" sheetId="1" r:id="rId4"/>
    <sheet state="visible" name="pivot6_top_food_categories" sheetId="2" r:id="rId5"/>
    <sheet state="visible" name="pivot5_top_products_driving_spe" sheetId="3" r:id="rId6"/>
    <sheet state="visible" name="pivot4_category_contribution_to" sheetId="4" r:id="rId7"/>
    <sheet state="visible" name="pivot3_monthly_spending_by_main" sheetId="5" r:id="rId8"/>
    <sheet state="visible" name="pivot2_h1_vs_h2_comparison" sheetId="6" r:id="rId9"/>
    <sheet state="visible" name="pivot1_total_monthly_household_" sheetId="7" r:id="rId10"/>
    <sheet state="visible" name="SP_household_goods_2025_semicle" sheetId="8" r:id="rId11"/>
  </sheets>
  <definedNames>
    <definedName hidden="1" localSheetId="0" name="_xlnm._FilterDatabase">EN_household_goods_2025_cleaned!$A$1:$O$820</definedName>
    <definedName hidden="1" localSheetId="7" name="_xlnm._FilterDatabase">SP_household_goods_2025_semicle!$A$1:$U$947</definedName>
  </definedNames>
  <calcPr/>
  <pivotCaches>
    <pivotCache cacheId="0" r:id="rId12"/>
  </pivotCaches>
</workbook>
</file>

<file path=xl/sharedStrings.xml><?xml version="1.0" encoding="utf-8"?>
<sst xmlns="http://schemas.openxmlformats.org/spreadsheetml/2006/main" count="9379" uniqueCount="481">
  <si>
    <t>year</t>
  </si>
  <si>
    <t>month</t>
  </si>
  <si>
    <t>month_helper</t>
  </si>
  <si>
    <t>half</t>
  </si>
  <si>
    <t>half_helper</t>
  </si>
  <si>
    <t>store</t>
  </si>
  <si>
    <t>product_category_main</t>
  </si>
  <si>
    <t>product_category_detail</t>
  </si>
  <si>
    <t>product_name</t>
  </si>
  <si>
    <t>brand</t>
  </si>
  <si>
    <t>possible_dups</t>
  </si>
  <si>
    <t>weight_gr_ml</t>
  </si>
  <si>
    <t>quantity</t>
  </si>
  <si>
    <t>price</t>
  </si>
  <si>
    <t>total</t>
  </si>
  <si>
    <t>feb</t>
  </si>
  <si>
    <t>h1</t>
  </si>
  <si>
    <t>d1</t>
  </si>
  <si>
    <t>food</t>
  </si>
  <si>
    <t>dairy</t>
  </si>
  <si>
    <t>ice_cream</t>
  </si>
  <si>
    <t>Kulfi</t>
  </si>
  <si>
    <t>lactose_free_milk</t>
  </si>
  <si>
    <t>Latti</t>
  </si>
  <si>
    <t>beverages</t>
  </si>
  <si>
    <t>chocolate_malt_drink</t>
  </si>
  <si>
    <t>Milo</t>
  </si>
  <si>
    <t>seasoning</t>
  </si>
  <si>
    <t>mayonnaise_mustard</t>
  </si>
  <si>
    <t>Zev</t>
  </si>
  <si>
    <t>mercamio</t>
  </si>
  <si>
    <t>oil</t>
  </si>
  <si>
    <t>soybean_oil</t>
  </si>
  <si>
    <t>fruit</t>
  </si>
  <si>
    <t>avocado</t>
  </si>
  <si>
    <t>herbs</t>
  </si>
  <si>
    <t>garlic</t>
  </si>
  <si>
    <t>protein</t>
  </si>
  <si>
    <t>tuna_loin_in_oil</t>
  </si>
  <si>
    <t>Seletti</t>
  </si>
  <si>
    <t>white_sugar</t>
  </si>
  <si>
    <t>Manuelita</t>
  </si>
  <si>
    <t>ground_coffee</t>
  </si>
  <si>
    <t>Bemoka</t>
  </si>
  <si>
    <t>pork_backbone</t>
  </si>
  <si>
    <t>pork_leg</t>
  </si>
  <si>
    <t>beef_shank</t>
  </si>
  <si>
    <t>top_round_beef</t>
  </si>
  <si>
    <t>beef_liver</t>
  </si>
  <si>
    <t>vegetables</t>
  </si>
  <si>
    <t>white_onion</t>
  </si>
  <si>
    <t>cauliflower</t>
  </si>
  <si>
    <t>legumes</t>
  </si>
  <si>
    <t>white_beans</t>
  </si>
  <si>
    <t>beans</t>
  </si>
  <si>
    <t>lentils</t>
  </si>
  <si>
    <t>mandarin_lime</t>
  </si>
  <si>
    <t>cucumber</t>
  </si>
  <si>
    <t>bell_pepper</t>
  </si>
  <si>
    <t>plantain</t>
  </si>
  <si>
    <t>marinated_chicken</t>
  </si>
  <si>
    <t>red_cabbage</t>
  </si>
  <si>
    <t>tomato</t>
  </si>
  <si>
    <t>carrot</t>
  </si>
  <si>
    <t>pumpkin</t>
  </si>
  <si>
    <t>h2</t>
  </si>
  <si>
    <t>Celema</t>
  </si>
  <si>
    <t>pork_ribs</t>
  </si>
  <si>
    <t>pork_loin</t>
  </si>
  <si>
    <t>chicken_breast</t>
  </si>
  <si>
    <t>banana</t>
  </si>
  <si>
    <t>batavia_lettuce</t>
  </si>
  <si>
    <t>broccoli</t>
  </si>
  <si>
    <t>chayote</t>
  </si>
  <si>
    <t>potato</t>
  </si>
  <si>
    <t>green_peas</t>
  </si>
  <si>
    <t>bakery</t>
  </si>
  <si>
    <t>whole_wheat_bread</t>
  </si>
  <si>
    <t>Bimbo</t>
  </si>
  <si>
    <t>hygiene_and_personal_care</t>
  </si>
  <si>
    <t>household_items</t>
  </si>
  <si>
    <t>toilet_paper_18un</t>
  </si>
  <si>
    <t>mar</t>
  </si>
  <si>
    <t>cleaning_and_household</t>
  </si>
  <si>
    <t>plastic_bag</t>
  </si>
  <si>
    <t>pasta</t>
  </si>
  <si>
    <t>angel_hair_pasta</t>
  </si>
  <si>
    <t>chorizo</t>
  </si>
  <si>
    <t>shell_pasta</t>
  </si>
  <si>
    <t>cleaning_supplies</t>
  </si>
  <si>
    <t>degreaser</t>
  </si>
  <si>
    <t>powder_detergent</t>
  </si>
  <si>
    <t>cereal</t>
  </si>
  <si>
    <t>chocolate_cereal</t>
  </si>
  <si>
    <t>snacks</t>
  </si>
  <si>
    <t>cookie</t>
  </si>
  <si>
    <t>personal_hygiene</t>
  </si>
  <si>
    <t>bar_soap</t>
  </si>
  <si>
    <t>pork_ham</t>
  </si>
  <si>
    <t>liquid_dish_soap</t>
  </si>
  <si>
    <t>sauce</t>
  </si>
  <si>
    <t>ketchup</t>
  </si>
  <si>
    <t>kitchen_towel</t>
  </si>
  <si>
    <t>bacon_snack</t>
  </si>
  <si>
    <t>fruit_yogurt</t>
  </si>
  <si>
    <t>vegetable_oil</t>
  </si>
  <si>
    <t>San Miguel</t>
  </si>
  <si>
    <t>beef_chuck</t>
  </si>
  <si>
    <t>tahiti_lime</t>
  </si>
  <si>
    <t>yellow_creamer_potato</t>
  </si>
  <si>
    <t>salt</t>
  </si>
  <si>
    <t>Refisal</t>
  </si>
  <si>
    <t>all_purpose_seasoning</t>
  </si>
  <si>
    <t>toothpaste</t>
  </si>
  <si>
    <t>tampons</t>
  </si>
  <si>
    <t>liquid_detergent</t>
  </si>
  <si>
    <t>fruit_rings</t>
  </si>
  <si>
    <t>sausage</t>
  </si>
  <si>
    <t>ground_pepper</t>
  </si>
  <si>
    <t>brown_sugar_cookie</t>
  </si>
  <si>
    <t>whole_wheat_roll</t>
  </si>
  <si>
    <t>beet</t>
  </si>
  <si>
    <t>wheat_flour</t>
  </si>
  <si>
    <t>beef_flank</t>
  </si>
  <si>
    <t>abr</t>
  </si>
  <si>
    <t>rice</t>
  </si>
  <si>
    <t>toothbrush</t>
  </si>
  <si>
    <t>bleach</t>
  </si>
  <si>
    <t>popcorn_kernels</t>
  </si>
  <si>
    <t>lactose_free_milk_6un</t>
  </si>
  <si>
    <t>chickpeas</t>
  </si>
  <si>
    <t>green_onion</t>
  </si>
  <si>
    <t>semi_skimmed_milk_5un</t>
  </si>
  <si>
    <t>tuna_loin_in_oil_2un</t>
  </si>
  <si>
    <t>may</t>
  </si>
  <si>
    <t>soy_sauce</t>
  </si>
  <si>
    <t>cocoa_powder</t>
  </si>
  <si>
    <t>condensed_milk</t>
  </si>
  <si>
    <t>cream</t>
  </si>
  <si>
    <t>mango</t>
  </si>
  <si>
    <t>papaya</t>
  </si>
  <si>
    <t>honey</t>
  </si>
  <si>
    <t>spinach</t>
  </si>
  <si>
    <t>cleaning_gloves</t>
  </si>
  <si>
    <t>semi_skimmed_milk_6un</t>
  </si>
  <si>
    <t>pork_salami</t>
  </si>
  <si>
    <t>spaghetti</t>
  </si>
  <si>
    <t>napkin</t>
  </si>
  <si>
    <t>guava</t>
  </si>
  <si>
    <t>lime</t>
  </si>
  <si>
    <t>ripe_plantain</t>
  </si>
  <si>
    <t>tuna_loin_in_water_2un</t>
  </si>
  <si>
    <t>jun</t>
  </si>
  <si>
    <t>eggplant</t>
  </si>
  <si>
    <t>Alpina</t>
  </si>
  <si>
    <t>fresh_herbs</t>
  </si>
  <si>
    <t>Farallones</t>
  </si>
  <si>
    <t>unsalted_butter</t>
  </si>
  <si>
    <t>Colanta</t>
  </si>
  <si>
    <t>Alqueria</t>
  </si>
  <si>
    <t>jul</t>
  </si>
  <si>
    <t>sanitary_pad</t>
  </si>
  <si>
    <t>mozzarella_cheese</t>
  </si>
  <si>
    <t>ago</t>
  </si>
  <si>
    <t>paprika</t>
  </si>
  <si>
    <t>turmeric</t>
  </si>
  <si>
    <t>sept</t>
  </si>
  <si>
    <t>ALQUERIA</t>
  </si>
  <si>
    <t>green_beans</t>
  </si>
  <si>
    <t>FARALLONES</t>
  </si>
  <si>
    <t>SELETTI</t>
  </si>
  <si>
    <t>liquid_soap</t>
  </si>
  <si>
    <t>zucchini</t>
  </si>
  <si>
    <t>oct</t>
  </si>
  <si>
    <t>pink_sauce</t>
  </si>
  <si>
    <t>herbal_tea</t>
  </si>
  <si>
    <t>tree_tomato</t>
  </si>
  <si>
    <t>nov</t>
  </si>
  <si>
    <t>dic</t>
  </si>
  <si>
    <t>barbecue_sauce</t>
  </si>
  <si>
    <t>metal_scouring_pad</t>
  </si>
  <si>
    <t>antiseptic_alcohol</t>
  </si>
  <si>
    <t>aloe_vera_leaf</t>
  </si>
  <si>
    <t>fresh_curd_cheese</t>
  </si>
  <si>
    <t>cream_cheese</t>
  </si>
  <si>
    <t>garlic_powder</t>
  </si>
  <si>
    <t>thin_candles_15un</t>
  </si>
  <si>
    <t>eggs_30un</t>
  </si>
  <si>
    <t>brown_sugar</t>
  </si>
  <si>
    <t>SUM de total</t>
  </si>
  <si>
    <t>Suma total</t>
  </si>
  <si>
    <t>partially or incomplete months (some receipts were missing)</t>
  </si>
  <si>
    <t>Año</t>
  </si>
  <si>
    <t>Mes</t>
  </si>
  <si>
    <t>Quincena</t>
  </si>
  <si>
    <t>Inflacion</t>
  </si>
  <si>
    <t>Variación %</t>
  </si>
  <si>
    <t>Lugar</t>
  </si>
  <si>
    <t>Tipo de producto</t>
  </si>
  <si>
    <t>Producto</t>
  </si>
  <si>
    <t>Marca</t>
  </si>
  <si>
    <t>Peso (gr/ml)</t>
  </si>
  <si>
    <t>Cantidad</t>
  </si>
  <si>
    <t>Precio</t>
  </si>
  <si>
    <t>Total</t>
  </si>
  <si>
    <t>H1</t>
  </si>
  <si>
    <t>D1</t>
  </si>
  <si>
    <t>Lacteo</t>
  </si>
  <si>
    <t>Helado kulfi</t>
  </si>
  <si>
    <t>Feb</t>
  </si>
  <si>
    <t>Leche deslactosada</t>
  </si>
  <si>
    <t>Milo activ-go</t>
  </si>
  <si>
    <t>Salsa mayonesa con mostaza</t>
  </si>
  <si>
    <t>Mercamio</t>
  </si>
  <si>
    <t>Aceite</t>
  </si>
  <si>
    <t>Aceite soya</t>
  </si>
  <si>
    <t>Fruta</t>
  </si>
  <si>
    <t>Aguacate comun</t>
  </si>
  <si>
    <t>Verdura</t>
  </si>
  <si>
    <t>Ajo granel</t>
  </si>
  <si>
    <t>Proteina</t>
  </si>
  <si>
    <t>Atun Lomo Ac/girasol</t>
  </si>
  <si>
    <t>Azucar</t>
  </si>
  <si>
    <t>Cafe</t>
  </si>
  <si>
    <t>Cafe molido tradicional</t>
  </si>
  <si>
    <t>Carne cerdo espinazo</t>
  </si>
  <si>
    <t>Carne cerdo pernil</t>
  </si>
  <si>
    <t>Carne res ampolleta/bota normal</t>
  </si>
  <si>
    <t>Carne res bola negra especial</t>
  </si>
  <si>
    <t>Carne res higado nacional</t>
  </si>
  <si>
    <t>Cebolla cabezona blanca sin pelar</t>
  </si>
  <si>
    <t>Coliflor</t>
  </si>
  <si>
    <t>Legumbre</t>
  </si>
  <si>
    <t>Frijol blanquillo</t>
  </si>
  <si>
    <t>Frijol calima</t>
  </si>
  <si>
    <t>Lenteja</t>
  </si>
  <si>
    <t>Limon mandarino</t>
  </si>
  <si>
    <t>Pepino cohombro</t>
  </si>
  <si>
    <t>Pimenton</t>
  </si>
  <si>
    <t>Platano comun</t>
  </si>
  <si>
    <t>Pollo campo marinado</t>
  </si>
  <si>
    <t>Repollo morado</t>
  </si>
  <si>
    <t>Tomate chonto</t>
  </si>
  <si>
    <t>Zanahoria</t>
  </si>
  <si>
    <t>Zapallo/ahuyama comun</t>
  </si>
  <si>
    <t>BOLSA BLANCA</t>
  </si>
  <si>
    <t>CABELLO DE AN</t>
  </si>
  <si>
    <t>CHORIZO CAMPE</t>
  </si>
  <si>
    <t>CHORIZO CON T</t>
  </si>
  <si>
    <t>CONCHA CAPRIS</t>
  </si>
  <si>
    <t>DESENGRASANTE</t>
  </si>
  <si>
    <t>DETERGENTE PO</t>
  </si>
  <si>
    <t>FIOCCOSO CERE</t>
  </si>
  <si>
    <t>GALLETA SEMID</t>
  </si>
  <si>
    <t>JABON NATURAL</t>
  </si>
  <si>
    <t>JAMON DE CERDO</t>
  </si>
  <si>
    <t>LIQUIDO LAVAL</t>
  </si>
  <si>
    <t>SALSA CON SAB</t>
  </si>
  <si>
    <t>SALSA DE TOMATE</t>
  </si>
  <si>
    <t>TOALLA DE COC</t>
  </si>
  <si>
    <t>TOCINETA MEGA</t>
  </si>
  <si>
    <t>YOGURT FRUTA</t>
  </si>
  <si>
    <t>Aceite Vegetal</t>
  </si>
  <si>
    <t>Banano Común Criollo</t>
  </si>
  <si>
    <t>Brocoli</t>
  </si>
  <si>
    <t>Carne cerdo costilla</t>
  </si>
  <si>
    <t>Carne cerdo lomo</t>
  </si>
  <si>
    <t>Carne res caderita especial</t>
  </si>
  <si>
    <t>Lechuga Batavia</t>
  </si>
  <si>
    <t>Limon tahiti</t>
  </si>
  <si>
    <t>Harina</t>
  </si>
  <si>
    <t>Pan Integral</t>
  </si>
  <si>
    <t>Papa Amarilla Criolla</t>
  </si>
  <si>
    <t>Papa Sin Lavar</t>
  </si>
  <si>
    <t>Pechuga Campo</t>
  </si>
  <si>
    <t>Sal</t>
  </si>
  <si>
    <t>Trirey</t>
  </si>
  <si>
    <t>Azucar blanca</t>
  </si>
  <si>
    <t>Carne res punta falda</t>
  </si>
  <si>
    <t>Remolacha</t>
  </si>
  <si>
    <t>Berenjena</t>
  </si>
  <si>
    <t>Leche semidescremada 6 und</t>
  </si>
  <si>
    <t>Pan integral</t>
  </si>
  <si>
    <t>Condimento</t>
  </si>
  <si>
    <t>H2</t>
  </si>
  <si>
    <t>Platano maduro</t>
  </si>
  <si>
    <t>Cebolla larga sucia</t>
  </si>
  <si>
    <t>Espinaca</t>
  </si>
  <si>
    <t>Hierbas</t>
  </si>
  <si>
    <t>Hierbas atado</t>
  </si>
  <si>
    <t>Harina trigo</t>
  </si>
  <si>
    <t>Mantequilla sin sal</t>
  </si>
  <si>
    <t>Leche deslactosada 6 unds</t>
  </si>
  <si>
    <t>Garbanzo</t>
  </si>
  <si>
    <t>Salsa</t>
  </si>
  <si>
    <t>Salchichon Cerdo</t>
  </si>
  <si>
    <t>Higiene</t>
  </si>
  <si>
    <t>Tampones Digi</t>
  </si>
  <si>
    <t>Chorizo santarrosano</t>
  </si>
  <si>
    <t>Aseo</t>
  </si>
  <si>
    <t>Limpiador lava</t>
  </si>
  <si>
    <t>DETERGENTE LI</t>
  </si>
  <si>
    <t>leche deslactosada</t>
  </si>
  <si>
    <t>carne res bola negra especial</t>
  </si>
  <si>
    <t>uyuco bolsa</t>
  </si>
  <si>
    <t>Arveja verde</t>
  </si>
  <si>
    <t>papel higienico elite x18</t>
  </si>
  <si>
    <t>SPAGHETTI CAP</t>
  </si>
  <si>
    <t>GALLETA NEGRI</t>
  </si>
  <si>
    <t>ARROZ ACHOCOL</t>
  </si>
  <si>
    <t>COCOA CASA RE</t>
  </si>
  <si>
    <t>PIMIENTA MOLIDA</t>
  </si>
  <si>
    <t>BLANQUEADOR B</t>
  </si>
  <si>
    <t>GALLETA CUCA</t>
  </si>
  <si>
    <t>MOGOLLA INTEGRAL</t>
  </si>
  <si>
    <t>SALSA DE SOYA</t>
  </si>
  <si>
    <t>CHORIZO ANTIO</t>
  </si>
  <si>
    <t>LECHE CONDEN</t>
  </si>
  <si>
    <t>CREMA DE LECHE</t>
  </si>
  <si>
    <t>LECHE DESLACT</t>
  </si>
  <si>
    <t>CREMA DENTAL</t>
  </si>
  <si>
    <t>TAMPONES DIGI</t>
  </si>
  <si>
    <t>PAPEL HIGIENI</t>
  </si>
  <si>
    <t>AROS FRUTALES</t>
  </si>
  <si>
    <t>Cereal</t>
  </si>
  <si>
    <t>Embutido</t>
  </si>
  <si>
    <t>SALCHICHA PAR</t>
  </si>
  <si>
    <t>CHORIZO SANTA</t>
  </si>
  <si>
    <t>Pasabocas</t>
  </si>
  <si>
    <t>SALCHICHON TR</t>
  </si>
  <si>
    <t>SERVILLETA CO</t>
  </si>
  <si>
    <t>ACEITE VEGETAL</t>
  </si>
  <si>
    <t>CEPILLO DE DI</t>
  </si>
  <si>
    <t>MAIZ PIRA EL</t>
  </si>
  <si>
    <t>PAPEL HIGIENICO</t>
  </si>
  <si>
    <t>TGALLA DELGAD</t>
  </si>
  <si>
    <t>SALSA ROSADA</t>
  </si>
  <si>
    <t>SALCHICHON CE</t>
  </si>
  <si>
    <t>AROMATICA 20</t>
  </si>
  <si>
    <t>sep</t>
  </si>
  <si>
    <t>leche deslactosada (1000ml*6und)</t>
  </si>
  <si>
    <t>LIMON MANDARINO</t>
  </si>
  <si>
    <t>HABICHUELA</t>
  </si>
  <si>
    <t>BERENJENA</t>
  </si>
  <si>
    <t>ESPINACA</t>
  </si>
  <si>
    <t>HARINA TRIGO</t>
  </si>
  <si>
    <t>MAIZ PIRA</t>
  </si>
  <si>
    <t>spaghetti_cap</t>
  </si>
  <si>
    <t>salsa_con_sab</t>
  </si>
  <si>
    <t>tocineta_mega</t>
  </si>
  <si>
    <t>salchichon_ce</t>
  </si>
  <si>
    <t>toalla_femeni</t>
  </si>
  <si>
    <t>jamon_de_cerdo</t>
  </si>
  <si>
    <t>chorizo_campe</t>
  </si>
  <si>
    <t>galleta_negri</t>
  </si>
  <si>
    <t>liquido_laval</t>
  </si>
  <si>
    <t>queso_mozzare</t>
  </si>
  <si>
    <t>yogurt_fruta</t>
  </si>
  <si>
    <t>bolsa_blanca</t>
  </si>
  <si>
    <t>salsa_de_toma</t>
  </si>
  <si>
    <t>fioccoso_cere</t>
  </si>
  <si>
    <t>concha_capris</t>
  </si>
  <si>
    <t>cabello_de_an</t>
  </si>
  <si>
    <t>jabon_natural</t>
  </si>
  <si>
    <t>pimienta_moli</t>
  </si>
  <si>
    <t>limpiador_lav</t>
  </si>
  <si>
    <t>desengrasante</t>
  </si>
  <si>
    <t>detergente_li</t>
  </si>
  <si>
    <t>blanqueador_b</t>
  </si>
  <si>
    <t>jabon_liquido</t>
  </si>
  <si>
    <t>detergente_po</t>
  </si>
  <si>
    <t>limpiador_man</t>
  </si>
  <si>
    <t>salsa_bbq_mas</t>
  </si>
  <si>
    <t>miel_de_abeja</t>
  </si>
  <si>
    <t>espiral_abras</t>
  </si>
  <si>
    <t>crema_dental</t>
  </si>
  <si>
    <t>alcohol_antis</t>
  </si>
  <si>
    <t>platano_comun_kilo</t>
  </si>
  <si>
    <t>cebolla_cabezona_kilo_blanca_sin_pelar</t>
  </si>
  <si>
    <t>banano_comun_criollo_kilo</t>
  </si>
  <si>
    <t>lechuga_batavia_kilo</t>
  </si>
  <si>
    <t>ajo_kilo_granel</t>
  </si>
  <si>
    <t>aguacate_comun_kilo</t>
  </si>
  <si>
    <t>coliflor_kilo</t>
  </si>
  <si>
    <t>brocoli_kilo</t>
  </si>
  <si>
    <t>remolacha_kilo</t>
  </si>
  <si>
    <t>tomate_chonto_kilo</t>
  </si>
  <si>
    <t>pepino_cohombro_kilo</t>
  </si>
  <si>
    <t>zanahoria_kilo</t>
  </si>
  <si>
    <t>limon_tahiti_kilo</t>
  </si>
  <si>
    <t>pimenton_kilo</t>
  </si>
  <si>
    <t>aceite_soya_mercamio_900ml</t>
  </si>
  <si>
    <t>harina_trigo_farallones_500g</t>
  </si>
  <si>
    <t>atun_seletti_160g_lomo_ac_girasol</t>
  </si>
  <si>
    <t>cafe_bemoka_400g_molido_tradicional</t>
  </si>
  <si>
    <t>frijol_seletti_blanquillo_500g</t>
  </si>
  <si>
    <t>frijol_seletti_calima_500g</t>
  </si>
  <si>
    <t>arveja_seletti_500g_verde</t>
  </si>
  <si>
    <t>bebida_milo_440g_actigen_e</t>
  </si>
  <si>
    <t>pechuga_campo_mercamio_kilo</t>
  </si>
  <si>
    <t>pollo_campo_mercamio_kilo_marinado</t>
  </si>
  <si>
    <t>cerdo_pernil_kilo</t>
  </si>
  <si>
    <t>xxxx</t>
  </si>
  <si>
    <t>c_res_higado_nacional_kilo</t>
  </si>
  <si>
    <t>cerdo_costilla_normal_kilo</t>
  </si>
  <si>
    <t>res_bola_negra_especial_kilo</t>
  </si>
  <si>
    <t>res_punta_falda_kilo</t>
  </si>
  <si>
    <t/>
  </si>
  <si>
    <t>leche_alpina_1100ml_6und_deslactosada</t>
  </si>
  <si>
    <t>papa_amarilla_criolla_kilo_granel</t>
  </si>
  <si>
    <t>lenteja_seletti_500g</t>
  </si>
  <si>
    <t>garbanzo_seletti_500g</t>
  </si>
  <si>
    <t>papa_sin_lavar_kilo_granel</t>
  </si>
  <si>
    <t>repollo_morado_kilo</t>
  </si>
  <si>
    <t>c_cerdo_lomo_kilo</t>
  </si>
  <si>
    <t>papa_criolla_kilo</t>
  </si>
  <si>
    <t>cebolla_larga_sucia_kilo</t>
  </si>
  <si>
    <t>pan_bimbo_integral_650g</t>
  </si>
  <si>
    <t>c_cerdo_espinazo_kilo</t>
  </si>
  <si>
    <t>c_cerdo_pernil_kilo</t>
  </si>
  <si>
    <t>c_res_punta_falda_kilo</t>
  </si>
  <si>
    <t>pechuga_mercamio_mr_kilo</t>
  </si>
  <si>
    <t>leche_alpina_1000ml_5und_semidescrem</t>
  </si>
  <si>
    <t>cebolla_cabezona_kilo_blanca_sin_pel</t>
  </si>
  <si>
    <t>atun_isabel_142g_2und_lomo_girasol</t>
  </si>
  <si>
    <t>trirey_55g</t>
  </si>
  <si>
    <t>lechuga_cres_und_organica_bolsa</t>
  </si>
  <si>
    <t>pan_guadalupe_570g_integral</t>
  </si>
  <si>
    <t>aceite_vegetal_san_miguel_500ml</t>
  </si>
  <si>
    <t>c_cerdo_costilla_normal_kilo</t>
  </si>
  <si>
    <t>pechuga_campo_mercamio_mr_kilo</t>
  </si>
  <si>
    <t>mango_grueso_kilo</t>
  </si>
  <si>
    <t>mango_comun_kilo</t>
  </si>
  <si>
    <t>papaya_comun_kilo</t>
  </si>
  <si>
    <t>pina_oro_miel_golden_kilo</t>
  </si>
  <si>
    <t>espinaca_kilo</t>
  </si>
  <si>
    <t>guante_fanz_superior_talla_s</t>
  </si>
  <si>
    <t>leche_alpina_1000ml_6und_semidescrem</t>
  </si>
  <si>
    <t>c_res_bola_negra_especial_kilo</t>
  </si>
  <si>
    <t>pernil_campo_mercamio_mr_kilo</t>
  </si>
  <si>
    <t>leche_alpina_1100ml_6und_deslac_p5ll</t>
  </si>
  <si>
    <t>guayaba_malla_und</t>
  </si>
  <si>
    <t>limon_comun_kilo</t>
  </si>
  <si>
    <t>platano_maduro_kilo</t>
  </si>
  <si>
    <t>azucar_manuelita_1000g</t>
  </si>
  <si>
    <t>atun_isabel_142g_2und_lomo_en_agua</t>
  </si>
  <si>
    <t>papel_h_elite_18und_441m_max_resist</t>
  </si>
  <si>
    <t>limon_mandarino_kilo</t>
  </si>
  <si>
    <t>berenjena_kilo</t>
  </si>
  <si>
    <t>pan_bimbo_650g_integral</t>
  </si>
  <si>
    <t>leche_alqueria_1000ml_6und_deslactosada</t>
  </si>
  <si>
    <t>azucar_manuelita_2500g_blanca</t>
  </si>
  <si>
    <t>guante_fanz_domestico_talla_m</t>
  </si>
  <si>
    <t>leche_alpina_1000ml_6und_semidescremada</t>
  </si>
  <si>
    <t>sal_refisal_1000g</t>
  </si>
  <si>
    <t>paprika_seletti_28g</t>
  </si>
  <si>
    <t>curcuma_seletti_28g_bolsa</t>
  </si>
  <si>
    <t>cafe_aguila_roja_400g</t>
  </si>
  <si>
    <t>zapallo_calabacin_kilo</t>
  </si>
  <si>
    <t>atun_isabel_142g_aceite_girasol</t>
  </si>
  <si>
    <t>c_res_caderita_especial_kilo</t>
  </si>
  <si>
    <t>habichuela_kilo</t>
  </si>
  <si>
    <t>guante_fanz_domestico_talla_s</t>
  </si>
  <si>
    <t>aceite_soya_mercamio_1800ml</t>
  </si>
  <si>
    <t>c_res_ampolleta_bota_normal_kilo</t>
  </si>
  <si>
    <t>tomate_de_arbol_kilo</t>
  </si>
  <si>
    <t>guayaba_pera_kilo</t>
  </si>
  <si>
    <t>hoja_de_sabila_kilo</t>
  </si>
  <si>
    <t>queso_mercamio_kilo_cuajada</t>
  </si>
  <si>
    <t>queso_alpina_380g_cremosino</t>
  </si>
  <si>
    <t>ajo_seletti_125g_polvo</t>
  </si>
  <si>
    <t>atun_isabel_142g_aceite_girasol_facil</t>
  </si>
  <si>
    <t>vela_finas_15und</t>
  </si>
  <si>
    <t>huevo_mercamio_rosado_b_30und</t>
  </si>
  <si>
    <t>leche_s_fernand_1000ml_6und_semidesc</t>
  </si>
  <si>
    <t>azucar_incauca_2500g_morena</t>
  </si>
  <si>
    <t>aceite_mercamio_soya_3000ml</t>
  </si>
  <si>
    <t>cebolla_cabezona_blanca_sin_pelar_kilo</t>
  </si>
  <si>
    <t>atun_van_camps_160g_lomo_aceite</t>
  </si>
  <si>
    <t>zapallo_ahuyama_comun_kilo</t>
  </si>
  <si>
    <t>huevo_mercamio_rosado_a_30und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</si>
</sst>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left" readingOrder="0"/>
    </xf>
    <xf borderId="0" fillId="0" fontId="1" numFmtId="3" xfId="0" applyAlignment="1" applyFont="1" applyNumberFormat="1">
      <alignment readingOrder="0"/>
    </xf>
    <xf borderId="0" fillId="0" fontId="1" numFmtId="3" xfId="0" applyAlignment="1" applyFont="1" applyNumberForma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3" xfId="0" applyFont="1" applyNumberFormat="1"/>
    <xf borderId="0" fillId="0" fontId="2" numFmtId="164" xfId="0" applyAlignment="1" applyFont="1" applyNumberFormat="1">
      <alignment horizontal="right" vertical="bottom"/>
    </xf>
    <xf borderId="0" fillId="0" fontId="2" numFmtId="164" xfId="0" applyAlignment="1" applyFont="1" applyNumberFormat="1">
      <alignment horizontal="right" readingOrder="0" vertical="bottom"/>
    </xf>
    <xf borderId="0" fillId="0" fontId="3" numFmtId="0" xfId="0" applyFont="1"/>
    <xf borderId="0" fillId="0" fontId="3" numFmtId="3" xfId="0" applyFont="1" applyNumberFormat="1"/>
    <xf borderId="0" fillId="0" fontId="1" numFmtId="164" xfId="0" applyFont="1" applyNumberFormat="1"/>
    <xf borderId="0" fillId="0" fontId="2" numFmtId="0" xfId="0" applyAlignment="1" applyFont="1">
      <alignment readingOrder="0" vertical="bottom"/>
    </xf>
    <xf borderId="0" fillId="0" fontId="2" numFmtId="3" xfId="0" applyAlignment="1" applyFont="1" applyNumberFormat="1">
      <alignment horizontal="right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1" numFmtId="0" xfId="0" applyFont="1"/>
    <xf borderId="0" fillId="0" fontId="1" numFmtId="10" xfId="0" applyFont="1" applyNumberFormat="1"/>
    <xf borderId="0" fillId="2" fontId="1" numFmtId="0" xfId="0" applyFill="1" applyFont="1"/>
    <xf borderId="0" fillId="3" fontId="1" numFmtId="164" xfId="0" applyFill="1" applyFont="1" applyNumberFormat="1"/>
    <xf borderId="0" fillId="3" fontId="1" numFmtId="0" xfId="0" applyFont="1"/>
    <xf borderId="0" fillId="2" fontId="1" numFmtId="0" xfId="0" applyAlignment="1" applyFont="1">
      <alignment readingOrder="0"/>
    </xf>
    <xf borderId="0" fillId="4" fontId="3" numFmtId="0" xfId="0" applyAlignment="1" applyFill="1" applyFont="1">
      <alignment horizontal="center" readingOrder="0"/>
    </xf>
    <xf borderId="0" fillId="4" fontId="3" numFmtId="0" xfId="0" applyFont="1"/>
    <xf borderId="0" fillId="4" fontId="3" numFmtId="164" xfId="0" applyFont="1" applyNumberFormat="1"/>
    <xf borderId="0" fillId="0" fontId="2" numFmtId="3" xfId="0" applyAlignment="1" applyFont="1" applyNumberFormat="1">
      <alignment horizontal="right" readingOrder="0" vertical="bottom"/>
    </xf>
    <xf borderId="0" fillId="4" fontId="3" numFmtId="0" xfId="0" applyFont="1"/>
    <xf borderId="0" fillId="0" fontId="2" numFmtId="0" xfId="0" applyAlignment="1" applyFont="1">
      <alignment horizontal="right" readingOrder="0" vertical="bottom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Top food categories driving spending increase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pivot6_top_food_categories!$M$1:$M$2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chemeClr val="accent1"/>
              </a:solidFill>
            </c:spPr>
          </c:dPt>
          <c:dPt>
            <c:idx val="2"/>
            <c:spPr>
              <a:solidFill>
                <a:schemeClr val="accent2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chemeClr val="accent3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pivot6_top_food_categories!$A$3:$A$16</c:f>
            </c:strRef>
          </c:cat>
          <c:val>
            <c:numRef>
              <c:f>pivot6_top_food_categories!$M$3:$M$16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Top products driving spending increases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pivot5_top_products_driving_spe!$B$1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pivot5_top_products_driving_spe!$A$2:$A$11</c:f>
            </c:strRef>
          </c:cat>
          <c:val>
            <c:numRef>
              <c:f>pivot5_top_products_driving_spe!$B$2:$B$11</c:f>
              <c:numCache/>
            </c:numRef>
          </c:val>
        </c:ser>
        <c:axId val="910545159"/>
        <c:axId val="640514676"/>
      </c:barChart>
      <c:catAx>
        <c:axId val="91054515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400">
                    <a:solidFill>
                      <a:srgbClr val="000000"/>
                    </a:solidFill>
                    <a:latin typeface="+mn-lt"/>
                  </a:rPr>
                  <a:t>Product 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40514676"/>
      </c:catAx>
      <c:valAx>
        <c:axId val="640514676"/>
        <c:scaling>
          <c:orientation val="minMax"/>
          <c:min val="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400">
                    <a:solidFill>
                      <a:srgbClr val="000000"/>
                    </a:solidFill>
                    <a:latin typeface="+mn-lt"/>
                  </a:rPr>
                  <a:t>Total Annual Spend (in COP)</a:t>
                </a:r>
              </a:p>
            </c:rich>
          </c:tx>
          <c:overlay val="0"/>
        </c:title>
        <c:numFmt formatCode="&quot;$&quot;#,##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10545159"/>
        <c:crosses val="max"/>
      </c:valAx>
    </c:plotArea>
    <c:legend>
      <c:legendPos val="r"/>
      <c:overlay val="0"/>
      <c:txPr>
        <a:bodyPr/>
        <a:lstStyle/>
        <a:p>
          <a:pPr lvl="0">
            <a:defRPr b="1">
              <a:solidFill>
                <a:srgbClr val="000000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2400">
                <a:solidFill>
                  <a:srgbClr val="757575"/>
                </a:solidFill>
                <a:latin typeface="+mn-lt"/>
              </a:defRPr>
            </a:pPr>
            <a:r>
              <a:rPr b="0" sz="2400">
                <a:solidFill>
                  <a:srgbClr val="757575"/>
                </a:solidFill>
                <a:latin typeface="+mn-lt"/>
              </a:rPr>
              <a:t>Category contribution to total spend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pivot4_category_contribution_to!$B$1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chemeClr val="accent3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>
                      <a:solidFill>
                        <a:srgbClr val="FFFFFF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pivot4_category_contribution_to!$A$2:$A$4</c:f>
            </c:strRef>
          </c:cat>
          <c:val>
            <c:numRef>
              <c:f>pivot4_category_contribution_to!$B$2:$B$4</c:f>
              <c:numCache/>
            </c:numRef>
          </c:val>
        </c:ser>
        <c:axId val="113110463"/>
        <c:axId val="1631326185"/>
      </c:barChart>
      <c:catAx>
        <c:axId val="11311046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1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600">
                    <a:solidFill>
                      <a:srgbClr val="000000"/>
                    </a:solidFill>
                    <a:latin typeface="+mn-lt"/>
                  </a:rPr>
                  <a:t>Main Product 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400">
                <a:solidFill>
                  <a:srgbClr val="000000"/>
                </a:solidFill>
                <a:latin typeface="+mn-lt"/>
              </a:defRPr>
            </a:pPr>
          </a:p>
        </c:txPr>
        <c:crossAx val="1631326185"/>
      </c:catAx>
      <c:valAx>
        <c:axId val="163132618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600">
                    <a:solidFill>
                      <a:srgbClr val="000000"/>
                    </a:solidFill>
                    <a:latin typeface="+mn-lt"/>
                  </a:rPr>
                  <a:t>Share of Total Spending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400">
                <a:solidFill>
                  <a:srgbClr val="000000"/>
                </a:solidFill>
                <a:latin typeface="+mn-lt"/>
              </a:defRPr>
            </a:pPr>
          </a:p>
        </c:txPr>
        <c:crossAx val="11311046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chemeClr val="dk1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Monthly spending by main category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v>Food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pivot3_monthly_spending_by_main!$B$3:$B$10</c:f>
            </c:strRef>
          </c:cat>
          <c:val>
            <c:numRef>
              <c:f>pivot3_monthly_spending_by_main!$C$3:$C$10</c:f>
              <c:numCache/>
            </c:numRef>
          </c:val>
        </c:ser>
        <c:ser>
          <c:idx val="1"/>
          <c:order val="1"/>
          <c:tx>
            <c:v>Hygiene &amp; Personal Care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pivot3_monthly_spending_by_main!$B$3:$B$10</c:f>
            </c:strRef>
          </c:cat>
          <c:val>
            <c:numRef>
              <c:f>pivot3_monthly_spending_by_main!$D$3:$D$10</c:f>
              <c:numCache/>
            </c:numRef>
          </c:val>
        </c:ser>
        <c:ser>
          <c:idx val="2"/>
          <c:order val="2"/>
          <c:tx>
            <c:v>Cleaning &amp; Household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pivot3_monthly_spending_by_main!$B$3:$B$10</c:f>
            </c:strRef>
          </c:cat>
          <c:val>
            <c:numRef>
              <c:f>pivot3_monthly_spending_by_main!$E$3:$E$10</c:f>
              <c:numCache/>
            </c:numRef>
          </c:val>
        </c:ser>
        <c:overlap val="100"/>
        <c:axId val="595374816"/>
        <c:axId val="1904150605"/>
      </c:barChart>
      <c:catAx>
        <c:axId val="5953748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4150605"/>
      </c:catAx>
      <c:valAx>
        <c:axId val="1904150605"/>
        <c:scaling>
          <c:orientation val="minMax"/>
          <c:min val="60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Total Spend (in COP)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537481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H1 vs H2 comparison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pivot2_h1_vs_h2_comparison!$C$1:$C$2</c:f>
            </c:strRef>
          </c:tx>
          <c:spPr>
            <a:solidFill>
              <a:srgbClr val="6A3D9A"/>
            </a:solidFill>
            <a:ln cmpd="sng">
              <a:solidFill>
                <a:srgbClr val="000000"/>
              </a:solidFill>
            </a:ln>
          </c:spPr>
          <c:cat>
            <c:strRef>
              <c:f>pivot2_h1_vs_h2_comparison!$B$3:$B$10</c:f>
            </c:strRef>
          </c:cat>
          <c:val>
            <c:numRef>
              <c:f>pivot2_h1_vs_h2_comparison!$C$3:$C$10</c:f>
              <c:numCache/>
            </c:numRef>
          </c:val>
        </c:ser>
        <c:ser>
          <c:idx val="1"/>
          <c:order val="1"/>
          <c:tx>
            <c:strRef>
              <c:f>pivot2_h1_vs_h2_comparison!$D$1:$D$2</c:f>
            </c:strRef>
          </c:tx>
          <c:spPr>
            <a:solidFill>
              <a:srgbClr val="FF8C00"/>
            </a:solidFill>
            <a:ln cmpd="sng">
              <a:solidFill>
                <a:srgbClr val="000000"/>
              </a:solidFill>
            </a:ln>
          </c:spPr>
          <c:cat>
            <c:strRef>
              <c:f>pivot2_h1_vs_h2_comparison!$B$3:$B$10</c:f>
            </c:strRef>
          </c:cat>
          <c:val>
            <c:numRef>
              <c:f>pivot2_h1_vs_h2_comparison!$D$3:$D$10</c:f>
              <c:numCache/>
            </c:numRef>
          </c:val>
        </c:ser>
        <c:axId val="433871873"/>
        <c:axId val="2122313768"/>
      </c:barChart>
      <c:catAx>
        <c:axId val="4338718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2313768"/>
      </c:catAx>
      <c:valAx>
        <c:axId val="2122313768"/>
        <c:scaling>
          <c:orientation val="minMax"/>
          <c:min val="35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Total Spend (in COP)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387187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2000">
                <a:solidFill>
                  <a:srgbClr val="757575"/>
                </a:solidFill>
                <a:latin typeface="+mn-lt"/>
              </a:defRPr>
            </a:pPr>
            <a:r>
              <a:rPr b="0" sz="2000">
                <a:solidFill>
                  <a:srgbClr val="757575"/>
                </a:solidFill>
                <a:latin typeface="+mn-lt"/>
              </a:rPr>
              <a:t>Total monthly household spending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Total Monthly Spend</c:v>
          </c:tx>
          <c:spPr>
            <a:ln cmpd="sng" w="76200">
              <a:solidFill>
                <a:srgbClr val="2C3E50">
                  <a:alpha val="100000"/>
                </a:srgbClr>
              </a:solidFill>
            </a:ln>
          </c:spPr>
          <c:marker>
            <c:symbol val="none"/>
          </c:marker>
          <c:trendline>
            <c:name>Trendline for Total Monthly Spend</c:name>
            <c:spPr>
              <a:ln w="38100">
                <a:solidFill>
                  <a:srgbClr val="000000">
                    <a:alpha val="40000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pivot1_total_monthly_household_!$B$2:$B$12</c:f>
            </c:strRef>
          </c:cat>
          <c:val>
            <c:numRef>
              <c:f>pivot1_total_monthly_household_!$C$2:$C$12</c:f>
              <c:numCache/>
            </c:numRef>
          </c:val>
          <c:smooth val="0"/>
        </c:ser>
        <c:axId val="152247364"/>
        <c:axId val="1372328921"/>
      </c:lineChart>
      <c:catAx>
        <c:axId val="1522473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40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72328921"/>
      </c:catAx>
      <c:valAx>
        <c:axId val="1372328921"/>
        <c:scaling>
          <c:orientation val="minMax"/>
          <c:min val="70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400">
                    <a:solidFill>
                      <a:srgbClr val="000000"/>
                    </a:solidFill>
                    <a:latin typeface="+mn-lt"/>
                  </a:rPr>
                  <a:t>Total Spend (in COP)</a:t>
                </a:r>
              </a:p>
            </c:rich>
          </c:tx>
          <c:layout>
            <c:manualLayout>
              <c:xMode val="edge"/>
              <c:yMode val="edge"/>
              <c:x val="0.03091666666666667"/>
              <c:y val="0.19752920035938903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24736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438150</xdr:colOff>
      <xdr:row>3</xdr:row>
      <xdr:rowOff>95250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561975</xdr:colOff>
      <xdr:row>2</xdr:row>
      <xdr:rowOff>57150</xdr:rowOff>
    </xdr:from>
    <xdr:ext cx="7524750" cy="46577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381000</xdr:colOff>
      <xdr:row>5</xdr:row>
      <xdr:rowOff>190500</xdr:rowOff>
    </xdr:from>
    <xdr:ext cx="5153025" cy="36099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619125</xdr:colOff>
      <xdr:row>5</xdr:row>
      <xdr:rowOff>38100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104775</xdr:colOff>
      <xdr:row>5</xdr:row>
      <xdr:rowOff>142875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295275</xdr:colOff>
      <xdr:row>7</xdr:row>
      <xdr:rowOff>171450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O820" sheet="EN_household_goods_2025_cleaned"/>
  </cacheSource>
  <cacheFields>
    <cacheField name="year" numFmtId="0">
      <sharedItems containsSemiMixedTypes="0" containsString="0" containsNumber="1" containsInteger="1">
        <n v="2025.0"/>
      </sharedItems>
    </cacheField>
    <cacheField name="month" numFmtId="0">
      <sharedItems>
        <s v="feb"/>
        <s v="mar"/>
        <s v="abr"/>
        <s v="may"/>
        <s v="jun"/>
        <s v="jul"/>
        <s v="ago"/>
        <s v="sept"/>
        <s v="oct"/>
        <s v="nov"/>
        <s v="dic"/>
      </sharedItems>
    </cacheField>
    <cacheField name="month_helper" numFmtId="0">
      <sharedItems containsSemiMixedTypes="0" containsString="0" containsNumber="1" containsInteger="1">
        <n v="2.0"/>
        <n v="3.0"/>
        <n v="4.0"/>
        <n v="5.0"/>
        <n v="6.0"/>
        <n v="7.0"/>
        <n v="8.0"/>
        <n v="9.0"/>
        <n v="10.0"/>
        <n v="11.0"/>
        <n v="12.0"/>
      </sharedItems>
    </cacheField>
    <cacheField name="half" numFmtId="0">
      <sharedItems>
        <s v="h1"/>
        <s v="h2"/>
      </sharedItems>
    </cacheField>
    <cacheField name="half_helper" numFmtId="0">
      <sharedItems containsSemiMixedTypes="0" containsString="0" containsNumber="1" containsInteger="1">
        <n v="1.0"/>
        <n v="2.0"/>
      </sharedItems>
    </cacheField>
    <cacheField name="store" numFmtId="0">
      <sharedItems>
        <s v="d1"/>
        <s v="mercamio"/>
      </sharedItems>
    </cacheField>
    <cacheField name="product_category_main" numFmtId="0">
      <sharedItems>
        <s v="food"/>
        <s v="hygiene_and_personal_care"/>
        <s v="cleaning_and_household"/>
      </sharedItems>
    </cacheField>
    <cacheField name="product_category_detail" numFmtId="0">
      <sharedItems>
        <s v="dairy"/>
        <s v="beverages"/>
        <s v="seasoning"/>
        <s v="oil"/>
        <s v="fruit"/>
        <s v="herbs"/>
        <s v="protein"/>
        <s v="vegetables"/>
        <s v="legumes"/>
        <s v="bakery"/>
        <s v="household_items"/>
        <s v="pasta"/>
        <s v="cleaning_supplies"/>
        <s v="cereal"/>
        <s v="snacks"/>
        <s v="personal_hygiene"/>
      </sharedItems>
    </cacheField>
    <cacheField name="product_name" numFmtId="0">
      <sharedItems>
        <s v="ice_cream"/>
        <s v="lactose_free_milk"/>
        <s v="chocolate_malt_drink"/>
        <s v="mayonnaise_mustard"/>
        <s v="soybean_oil"/>
        <s v="avocado"/>
        <s v="garlic"/>
        <s v="tuna_loin_in_oil"/>
        <s v="white_sugar"/>
        <s v="ground_coffee"/>
        <s v="pork_backbone"/>
        <s v="pork_leg"/>
        <s v="beef_shank"/>
        <s v="top_round_beef"/>
        <s v="beef_liver"/>
        <s v="white_onion"/>
        <s v="cauliflower"/>
        <s v="white_beans"/>
        <s v="beans"/>
        <s v="lentils"/>
        <s v="mandarin_lime"/>
        <s v="cucumber"/>
        <s v="bell_pepper"/>
        <s v="plantain"/>
        <s v="marinated_chicken"/>
        <s v="red_cabbage"/>
        <s v="tomato"/>
        <s v="carrot"/>
        <s v="pumpkin"/>
        <s v="pork_ribs"/>
        <s v="pork_loin"/>
        <s v="chicken_breast"/>
        <s v="banana"/>
        <s v="batavia_lettuce"/>
        <s v="broccoli"/>
        <s v="chayote"/>
        <s v="potato"/>
        <s v="green_peas"/>
        <s v="whole_wheat_bread"/>
        <s v="toilet_paper_18un"/>
        <s v="plastic_bag"/>
        <s v="angel_hair_pasta"/>
        <s v="chorizo"/>
        <s v="shell_pasta"/>
        <s v="degreaser"/>
        <s v="powder_detergent"/>
        <s v="chocolate_cereal"/>
        <s v="cookie"/>
        <s v="bar_soap"/>
        <s v="pork_ham"/>
        <s v="liquid_dish_soap"/>
        <s v="sauce"/>
        <s v="ketchup"/>
        <s v="kitchen_towel"/>
        <s v="bacon_snack"/>
        <s v="fruit_yogurt"/>
        <s v="vegetable_oil"/>
        <s v="beef_chuck"/>
        <s v="tahiti_lime"/>
        <s v="yellow_creamer_potato"/>
        <s v="salt"/>
        <s v="all_purpose_seasoning"/>
        <s v="toothpaste"/>
        <s v="tampons"/>
        <s v="liquid_detergent"/>
        <s v="fruit_rings"/>
        <s v="sausage"/>
        <s v="ground_pepper"/>
        <s v="brown_sugar_cookie"/>
        <s v="whole_wheat_roll"/>
        <s v="beet"/>
        <s v="wheat_flour"/>
        <s v="beef_flank"/>
        <s v="rice"/>
        <s v="toothbrush"/>
        <s v="bleach"/>
        <s v="popcorn_kernels"/>
        <s v="lactose_free_milk_6un"/>
        <s v="chickpeas"/>
        <s v="green_onion"/>
        <s v="semi_skimmed_milk_5un"/>
        <s v="tuna_loin_in_oil_2un"/>
        <s v="soy_sauce"/>
        <s v="cocoa_powder"/>
        <s v="condensed_milk"/>
        <s v="cream"/>
        <s v="mango"/>
        <s v="papaya"/>
        <s v="honey"/>
        <s v="spinach"/>
        <s v="cleaning_gloves"/>
        <s v="semi_skimmed_milk_6un"/>
        <s v="pork_salami"/>
        <s v="spaghetti"/>
        <s v="napkin"/>
        <s v="guava"/>
        <s v="lime"/>
        <s v="ripe_plantain"/>
        <s v="tuna_loin_in_water_2un"/>
        <s v="eggplant"/>
        <s v="fresh_herbs"/>
        <s v="unsalted_butter"/>
        <s v="sanitary_pad"/>
        <s v="mozzarella_cheese"/>
        <s v="paprika"/>
        <s v="turmeric"/>
        <s v="green_beans"/>
        <s v="liquid_soap"/>
        <s v="zucchini"/>
        <s v="pink_sauce"/>
        <s v="herbal_tea"/>
        <s v="tree_tomato"/>
        <s v="barbecue_sauce"/>
        <s v="metal_scouring_pad"/>
        <s v="antiseptic_alcohol"/>
        <s v="aloe_vera_leaf"/>
        <s v="fresh_curd_cheese"/>
        <s v="cream_cheese"/>
        <s v="garlic_powder"/>
        <s v="thin_candles_15un"/>
        <s v="eggs_30un"/>
        <s v="brown_sugar"/>
      </sharedItems>
    </cacheField>
    <cacheField name="brand" numFmtId="0">
      <sharedItems containsBlank="1">
        <s v="Kulfi"/>
        <s v="Latti"/>
        <s v="Milo"/>
        <s v="Zev"/>
        <s v="mercamio"/>
        <s v="Seletti"/>
        <s v="Manuelita"/>
        <s v="Bemoka"/>
        <s v="Celema"/>
        <s v="Bimbo"/>
        <m/>
        <s v="bar_soap"/>
        <s v="San Miguel"/>
        <s v="Refisal"/>
        <s v="Alpina"/>
        <s v="Farallones"/>
        <s v="Colanta"/>
        <s v="Alqueria"/>
      </sharedItems>
    </cacheField>
    <cacheField name="possible_dups" numFmtId="3">
      <sharedItems>
        <b v="0"/>
        <b v="1"/>
      </sharedItems>
    </cacheField>
    <cacheField name="weight_gr_ml" numFmtId="3">
      <sharedItems containsString="0" containsBlank="1" containsNumber="1" containsInteger="1">
        <n v="650.0"/>
        <n v="900.0"/>
        <n v="150.0"/>
        <n v="200.0"/>
        <n v="1118.0"/>
        <n v="106.0"/>
        <n v="160.0"/>
        <n v="2500.0"/>
        <n v="400.0"/>
        <n v="1000.0"/>
        <n v="1056.0"/>
        <n v="606.0"/>
        <n v="532.0"/>
        <n v="500.0"/>
        <n v="3440.0"/>
        <n v="382.0"/>
        <n v="874.0"/>
        <n v="1836.0"/>
        <n v="1208.0"/>
        <n v="1092.0"/>
        <n v="3380.0"/>
        <n v="556.0"/>
        <n v="3332.0"/>
        <n v="1950.0"/>
        <n v="694.0"/>
        <n v="1042.0"/>
        <n v="1130.0"/>
        <n v="1050.0"/>
        <n v="1086.0"/>
        <n v="778.0"/>
        <n v="2865.0"/>
        <n v="1175.0"/>
        <n v="2350.0"/>
        <n v="1450.0"/>
        <n v="1530.0"/>
        <n v="3210.0"/>
        <n v="620.0"/>
        <n v="830.0"/>
        <n v="810.0"/>
        <m/>
        <n v="770.0"/>
        <n v="3150.0"/>
        <n v="1630.0"/>
        <n v="1840.0"/>
        <n v="2320.0"/>
        <n v="1300.0"/>
        <n v="1702.0"/>
        <n v="1766.0"/>
        <n v="974.0"/>
        <n v="1026.0"/>
        <n v="976.0"/>
        <n v="782.0"/>
        <n v="1088.0"/>
        <n v="516.0"/>
        <n v="4300.0"/>
        <n v="450.0"/>
        <n v="484.0"/>
        <n v="954.0"/>
        <n v="1158.0"/>
        <n v="2138.0"/>
        <n v="1230.0"/>
        <n v="1924.0"/>
        <n v="1010.0"/>
        <n v="1276.0"/>
        <n v="2960.0"/>
        <n v="704.0"/>
        <n v="3460.0"/>
        <n v="55.0"/>
        <n v="1094.0"/>
        <n v="2084.0"/>
        <n v="3616.0"/>
        <n v="1714.0"/>
        <n v="534.0"/>
        <n v="134.0"/>
        <n v="1794.0"/>
        <n v="432.0"/>
        <n v="892.0"/>
        <n v="1804.0"/>
        <n v="3788.0"/>
        <n v="1176.0"/>
        <n v="1312.0"/>
        <n v="634.0"/>
        <n v="836.0"/>
        <n v="440.0"/>
        <n v="1260.0"/>
        <n v="3065.0"/>
        <n v="1774.0"/>
        <n v="1178.0"/>
        <n v="1146.0"/>
        <n v="1044.0"/>
        <n v="1100.0"/>
        <n v="700.0"/>
        <n v="980.0"/>
        <n v="1198.0"/>
        <n v="2374.0"/>
        <n v="2655.0"/>
        <n v="2205.0"/>
        <n v="1045.0"/>
        <n v="1320.0"/>
        <n v="1120.0"/>
        <n v="2340.0"/>
        <n v="725.0"/>
        <n v="1270.0"/>
        <n v="880.0"/>
        <n v="1102.0"/>
        <n v="818.0"/>
        <n v="3125.0"/>
        <n v="3115.0"/>
        <n v="2390.0"/>
        <n v="990.0"/>
        <n v="2310.0"/>
        <n v="470.0"/>
        <n v="986.0"/>
        <n v="1098.0"/>
        <n v="768.0"/>
        <n v="1866.0"/>
        <n v="1250.0"/>
        <n v="3290.0"/>
        <n v="2290.0"/>
        <n v="1470.0"/>
        <n v="2850.0"/>
        <n v="550.0"/>
        <n v="2090.0"/>
        <n v="142.0"/>
        <n v="2250.0"/>
        <n v="1410.0"/>
        <n v="570.0"/>
        <n v="3044.0"/>
        <n v="762.0"/>
        <n v="786.0"/>
        <n v="3245.0"/>
        <n v="1370.0"/>
        <n v="2270.0"/>
        <n v="3368.0"/>
        <n v="2702.0"/>
        <n v="1772.0"/>
        <n v="1880.0"/>
        <n v="2710.0"/>
        <n v="2406.0"/>
        <n v="834.0"/>
        <n v="628.0"/>
        <n v="1210.0"/>
        <n v="790.0"/>
        <n v="1296.0"/>
        <n v="1222.0"/>
        <n v="1156.0"/>
        <n v="598.0"/>
        <n v="2124.0"/>
        <n v="354.0"/>
        <n v="690.0"/>
        <n v="1058.0"/>
        <n v="3295.0"/>
        <n v="3430.0"/>
        <n v="2540.0"/>
        <n v="1390.0"/>
        <n v="370.0"/>
        <n v="1970.0"/>
        <n v="840.0"/>
        <n v="3470.0"/>
        <n v="90.0"/>
        <n v="530.0"/>
        <n v="230.0"/>
        <n v="1360.0"/>
        <n v="2985.0"/>
        <n v="870.0"/>
        <n v="1438.0"/>
        <n v="1212.0"/>
        <n v="772.0"/>
        <n v="2402.0"/>
        <n v="3542.0"/>
        <n v="4515.0"/>
        <n v="2102.0"/>
        <n v="2128.0"/>
        <n v="1040.0"/>
        <n v="996.0"/>
        <n v="2030.0"/>
        <n v="1652.0"/>
        <n v="850.0"/>
        <n v="420.0"/>
        <n v="498.0"/>
        <n v="788.0"/>
        <n v="6000.0"/>
        <n v="1800.0"/>
        <n v="1374.0"/>
        <n v="1584.0"/>
        <n v="992.0"/>
        <n v="1324.0"/>
        <n v="1172.0"/>
        <n v="2715.0"/>
        <n v="995.0"/>
        <n v="1365.0"/>
        <n v="2560.0"/>
        <n v="405.0"/>
        <n v="965.0"/>
        <n v="1160.0"/>
        <n v="3455.0"/>
        <n v="225.0"/>
        <n v="1070.0"/>
        <n v="3365.0"/>
        <n v="1710.0"/>
        <n v="475.0"/>
        <n v="935.0"/>
        <n v="490.0"/>
        <n v="125.0"/>
        <n v="1064.0"/>
        <n v="1076.0"/>
        <n v="2950.0"/>
        <n v="1505.0"/>
        <n v="2970.0"/>
        <n v="3720.0"/>
        <n v="950.0"/>
        <n v="890.0"/>
        <n v="2440.0"/>
        <n v="1225.0"/>
        <n v="755.0"/>
        <n v="240.0"/>
        <n v="3340.0"/>
        <n v="480.0"/>
        <n v="860.0"/>
        <n v="2860.0"/>
        <n v="1030.0"/>
        <n v="2210.0"/>
        <n v="838.0"/>
        <n v="1274.0"/>
        <n v="806.0"/>
        <n v="878.0"/>
        <n v="946.0"/>
        <n v="3310.0"/>
        <n v="1090.0"/>
        <n v="1720.0"/>
        <n v="1140.0"/>
        <n v="2480.0"/>
        <n v="3590.0"/>
        <n v="3565.0"/>
        <n v="255.0"/>
        <n v="3005.0"/>
        <n v="5842.0"/>
        <n v="968.0"/>
        <n v="2038.0"/>
        <n v="1960.0"/>
        <n v="1145.0"/>
        <n v="720.0"/>
        <n v="2130.0"/>
        <n v="1345.0"/>
        <n v="565.0"/>
        <n v="28.0"/>
        <n v="688.0"/>
        <n v="508.0"/>
        <n v="1506.0"/>
        <n v="1114.0"/>
        <n v="1962.0"/>
        <n v="5150.0"/>
        <n v="2460.0"/>
        <n v="3472.0"/>
        <n v="1226.0"/>
        <n v="228.0"/>
        <n v="936.0"/>
        <n v="3716.0"/>
        <n v="2004.0"/>
        <n v="1122.0"/>
        <n v="1016.0"/>
        <n v="1048.0"/>
        <n v="940.0"/>
        <n v="5340.0"/>
        <n v="745.0"/>
        <n v="1435.0"/>
        <n v="3855.0"/>
        <n v="970.0"/>
        <n v="310.0"/>
        <n v="1475.0"/>
        <n v="3595.0"/>
        <n v="1280.0"/>
        <n v="2080.0"/>
        <n v="2155.0"/>
        <n v="835.0"/>
        <n v="2395.0"/>
        <n v="3155.0"/>
        <n v="6680.0"/>
        <n v="814.0"/>
        <n v="1400.0"/>
        <n v="540.0"/>
        <n v="3325.0"/>
        <n v="495.0"/>
        <n v="290.0"/>
        <n v="605.0"/>
        <n v="270.0"/>
        <n v="515.0"/>
        <n v="4275.0"/>
        <n v="275.0"/>
        <n v="1605.0"/>
        <n v="4610.0"/>
        <n v="3770.0"/>
        <n v="5655.0"/>
        <n v="1015.0"/>
        <n v="1200.0"/>
        <n v="1835.0"/>
        <n v="1055.0"/>
        <n v="535.0"/>
        <n v="1585.0"/>
        <n v="1080.0"/>
        <n v="5890.0"/>
        <n v="3810.0"/>
        <n v="3950.0"/>
        <n v="1540.0"/>
        <n v="1560.0"/>
        <n v="1920.0"/>
        <n v="820.0"/>
        <n v="730.0"/>
        <n v="280.0"/>
        <n v="580.0"/>
        <n v="1680.0"/>
        <n v="680.0"/>
        <n v="460.0"/>
        <n v="510.0"/>
        <n v="380.0"/>
        <n v="3000.0"/>
        <n v="3948.0"/>
        <n v="1206.0"/>
        <n v="486.0"/>
        <n v="1384.0"/>
        <n v="1674.0"/>
        <n v="4970.0"/>
        <n v="760.0"/>
        <n v="3714.0"/>
        <n v="1112.0"/>
        <n v="568.0"/>
        <n v="1256.0"/>
        <n v="308.0"/>
        <n v="298.0"/>
      </sharedItems>
    </cacheField>
    <cacheField name="quantity" numFmtId="0">
      <sharedItems containsString="0" containsBlank="1" containsNumber="1" containsInteger="1">
        <n v="1.0"/>
        <n v="5.0"/>
        <m/>
        <n v="4.0"/>
        <n v="2.0"/>
        <n v="3.0"/>
      </sharedItems>
    </cacheField>
    <cacheField name="price" numFmtId="164">
      <sharedItems containsSemiMixedTypes="0" containsString="0" containsNumber="1" containsInteger="1">
        <n v="14500.0"/>
        <n v="3400.0"/>
        <n v="6490.0"/>
        <n v="3490.0"/>
        <n v="7200.0"/>
        <n v="7980.0"/>
        <n v="15000.0"/>
        <n v="4990.0"/>
        <n v="8900.0"/>
        <n v="15990.0"/>
        <n v="10980.0"/>
        <n v="19400.0"/>
        <n v="28580.0"/>
        <n v="31980.0"/>
        <n v="18580.0"/>
        <n v="2300.0"/>
        <n v="6400.0"/>
        <n v="3550.0"/>
        <n v="3990.0"/>
        <n v="3590.0"/>
        <n v="3700.0"/>
        <n v="2500.0"/>
        <n v="6300.0"/>
        <n v="5180.0"/>
        <n v="1980.0"/>
        <n v="2100.0"/>
        <n v="3390.0"/>
        <n v="25980.0"/>
        <n v="19000.0"/>
        <n v="14980.0"/>
        <n v="3100.0"/>
        <n v="5780.0"/>
        <n v="4400.0"/>
        <n v="7900.0"/>
        <n v="1990.0"/>
        <n v="5500.0"/>
        <n v="2900.0"/>
        <n v="10990.0"/>
        <n v="8850.0"/>
        <n v="11950.0"/>
        <n v="2200.0"/>
        <n v="1250.0"/>
        <n v="4900.0"/>
        <n v="6990.0"/>
        <n v="2450.0"/>
        <n v="4570.0"/>
        <n v="6450.0"/>
        <n v="5350.0"/>
        <n v="8700.0"/>
        <n v="2600.0"/>
        <n v="3790.0"/>
        <n v="4750.0"/>
        <n v="1650.0"/>
        <n v="1950.0"/>
        <n v="1450.0"/>
        <n v="13950.0"/>
        <n v="7850.0"/>
        <n v="27980.0"/>
        <n v="26380.0"/>
        <n v="28980.0"/>
        <n v="25800.0"/>
        <n v="7600.0"/>
        <n v="5900.0"/>
        <n v="2780.0"/>
        <n v="14780.0"/>
        <n v="2400.0"/>
        <n v="6200.0"/>
        <n v="2580.0"/>
        <n v="9400.0"/>
        <n v="1350.0"/>
        <n v="5980.0"/>
        <n v="5150.0"/>
        <n v="4250.0"/>
        <n v="4950.0"/>
        <n v="13940.0"/>
        <n v="4490.0"/>
        <n v="8990.0"/>
        <n v="13980.0"/>
        <n v="1490.0"/>
        <n v="7990.0"/>
        <n v="2380.0"/>
        <n v="1780.0"/>
        <n v="12300.0"/>
        <n v="9000.0"/>
        <n v="6900.0"/>
        <n v="7100.0"/>
        <n v="3300.0"/>
        <n v="4700.0"/>
        <n v="5100.0"/>
        <n v="12990.0"/>
        <n v="5990.0"/>
        <n v="2790.0"/>
        <n v="27600.0"/>
        <n v="1580.0"/>
        <n v="7800.0"/>
        <n v="4150.0"/>
        <n v="3190.0"/>
        <n v="18990.0"/>
        <n v="3580.0"/>
        <n v="17800.0"/>
        <n v="17400.0"/>
        <n v="5000.0"/>
        <n v="3980.0"/>
        <n v="1200.0"/>
        <n v="14290.0"/>
        <n v="8580.0"/>
        <n v="12980.0"/>
        <n v="20990.0"/>
        <n v="4100.0"/>
        <n v="3200.0"/>
        <n v="9780.0"/>
        <n v="3500.0"/>
        <n v="2750.0"/>
        <n v="3180.0"/>
        <n v="1500.0"/>
        <n v="6950.0"/>
        <n v="1800.0"/>
        <n v="9990.0"/>
        <n v="3750.0"/>
        <n v="16980.0"/>
        <n v="17380.0"/>
        <n v="26980.0"/>
        <n v="12580.0"/>
        <n v="4200.0"/>
        <n v="8200.0"/>
        <n v="6180.0"/>
        <n v="4000.0"/>
        <n v="4780.0"/>
        <n v="3000.0"/>
        <n v="5600.0"/>
        <n v="2990.0"/>
        <n v="4390.0"/>
        <n v="18550.0"/>
        <n v="5550.0"/>
        <n v="1750.0"/>
        <n v="2250.0"/>
        <n v="7490.0"/>
        <n v="19700.0"/>
        <n v="23980.0"/>
        <n v="7580.0"/>
        <n v="2180.0"/>
        <n v="4580.0"/>
        <n v="7180.0"/>
        <n v="6980.0"/>
        <n v="11100.0"/>
        <n v="7680.0"/>
        <n v="3780.0"/>
        <n v="19150.0"/>
        <n v="4500.0"/>
        <n v="9750.0"/>
        <n v="11990.0"/>
        <n v="2470.0"/>
        <n v="19580.0"/>
        <n v="4980.0"/>
        <n v="2980.0"/>
        <n v="4480.0"/>
        <n v="2650.0"/>
        <n v="21990.0"/>
        <n v="14350.0"/>
        <n v="15980.0"/>
        <n v="32580.0"/>
        <n v="15700.0"/>
        <n v="11980.0"/>
        <n v="3880.0"/>
        <n v="3380.0"/>
        <n v="10000.0"/>
        <n v="650.0"/>
        <n v="21900.0"/>
        <n v="36550.0"/>
        <n v="5450.0"/>
        <n v="16700.0"/>
        <n v="1180.0"/>
        <n v="8380.0"/>
        <n v="4180.0"/>
        <n v="18750.0"/>
        <n v="22850.0"/>
        <n v="12950.0"/>
        <n v="9900.0"/>
        <n v="5580.0"/>
        <n v="2190.0"/>
        <n v="18500.0"/>
        <n v="2890.0"/>
        <n v="27500.0"/>
        <n v="16780.0"/>
        <n v="18980.0"/>
        <n v="1380.0"/>
        <n v="1150.0"/>
        <n v="20950.0"/>
        <n v="16580.0"/>
        <n v="19980.0"/>
        <n v="4380.0"/>
        <n v="1300.0"/>
        <n v="1550.0"/>
        <n v="2550.0"/>
        <n v="8450.0"/>
        <n v="4290.0"/>
        <n v="18900.0"/>
        <n v="2800.0"/>
        <n v="9450.0"/>
        <n v="32980.0"/>
        <n v="8780.0"/>
        <n v="2700.0"/>
        <n v="5380.0"/>
        <n v="22750.0"/>
        <n v="29980.0"/>
        <n v="15380.0"/>
        <n v="4300.0"/>
        <n v="980.0"/>
        <n v="17950.0"/>
        <n v="1890.0"/>
        <n v="2880.0"/>
        <n v="22990.0"/>
        <n v="5400.0"/>
        <n v="2850.0"/>
        <n v="22580.0"/>
        <n v="27380.0"/>
        <n v="3900.0"/>
        <n v="2150.0"/>
        <n v="5200.0"/>
        <n v="4190.0"/>
        <n v="19990.0"/>
        <n v="900.0"/>
        <n v="4550.0"/>
        <n v="2350.0"/>
        <n v="1900.0"/>
        <n v="34980.0"/>
        <n v="33980.0"/>
        <n v="7780.0"/>
        <n v="17980.0"/>
        <n v="9200.0"/>
        <n v="7150.0"/>
        <n v="2950.0"/>
        <n v="3150.0"/>
        <n v="25990.0"/>
        <n v="2680.0"/>
        <n v="17580.0"/>
      </sharedItems>
    </cacheField>
    <cacheField name="total" numFmtId="164">
      <sharedItems containsSemiMixedTypes="0" containsString="0" containsNumber="1">
        <n v="14500.0"/>
        <n v="17000.0"/>
        <n v="6490.0"/>
        <n v="3490.0"/>
        <n v="7200.0"/>
        <n v="8921.64"/>
        <n v="1590.0"/>
        <n v="4990.0"/>
        <n v="8900.0"/>
        <n v="15990.0"/>
        <n v="10980.0"/>
        <n v="20486.4"/>
        <n v="17319.48"/>
        <n v="17013.36"/>
        <n v="9290.0"/>
        <n v="7912.0"/>
        <n v="2444.8"/>
        <n v="3550.0"/>
        <n v="3990.0"/>
        <n v="3590.0"/>
        <n v="3233.8"/>
        <n v="4590.0"/>
        <n v="7610.4"/>
        <n v="2511.6"/>
        <n v="37112.4"/>
        <n v="1390.0"/>
        <n v="17259.76"/>
        <n v="3861.0"/>
        <n v="1457.4"/>
        <n v="13560.0"/>
        <n v="33323.16"/>
        <n v="32295.4"/>
        <n v="20370.0"/>
        <n v="28214.28"/>
        <n v="14782.0"/>
        <n v="31457.7"/>
        <n v="17601.5"/>
        <n v="7285.0"/>
        <n v="2871.0"/>
        <n v="12209.4"/>
        <n v="18553.8"/>
        <n v="1426.0"/>
        <n v="3652.0"/>
        <n v="6399.0"/>
        <n v="3980.0"/>
        <n v="4235.0"/>
        <n v="6615.0"/>
        <n v="3227.4"/>
        <n v="5336.0"/>
        <n v="4593.6"/>
        <n v="10990.0"/>
        <n v="1990.0"/>
        <n v="8850.0"/>
        <n v="11950.0"/>
        <n v="2200.0"/>
        <n v="1250.0"/>
        <n v="4900.0"/>
        <n v="6990.0"/>
        <n v="2450.0"/>
        <n v="4570.0"/>
        <n v="5970.0"/>
        <n v="6450.0"/>
        <n v="5350.0"/>
        <n v="8700.0"/>
        <n v="2600.0"/>
        <n v="3790.0"/>
        <n v="4750.0"/>
        <n v="1650.0"/>
        <n v="5850.0"/>
        <n v="4350.0"/>
        <n v="13950.0"/>
        <n v="13581.96"/>
        <n v="7850.0"/>
        <n v="5474.6"/>
        <n v="6904.6"/>
        <n v="27252.52"/>
        <n v="11265.48"/>
        <n v="25746.88"/>
        <n v="14858.0"/>
        <n v="31530.24"/>
        <n v="31148.52"/>
        <n v="13312.8"/>
        <n v="9890.0"/>
        <n v="3420.0"/>
        <n v="16950.0"/>
        <n v="2855.6"/>
        <n v="1888.92"/>
        <n v="3219.24"/>
        <n v="4233.24"/>
        <n v="18179.4"/>
        <n v="4617.6"/>
        <n v="6262.0"/>
        <n v="3292.08"/>
        <n v="27824.0"/>
        <n v="1619.2"/>
        <n v="1350.0"/>
        <n v="20690.8"/>
        <n v="2166.12"/>
        <n v="5150.0"/>
        <n v="8500.0"/>
        <n v="4950.0"/>
        <n v="13940.0"/>
        <n v="4490.0"/>
        <n v="8990.0"/>
        <n v="13980.0"/>
        <n v="1490.0"/>
        <n v="7990.0"/>
        <n v="3400.0"/>
        <n v="4959.92"/>
        <n v="6436.48"/>
        <n v="4422.12"/>
        <n v="3150.6"/>
        <n v="1648.2"/>
        <n v="16146.0"/>
        <n v="2980.8"/>
        <n v="6333.2"/>
        <n v="5953.2"/>
        <n v="17803.6"/>
        <n v="2328.48"/>
        <n v="2597.76"/>
        <n v="1508.92"/>
        <n v="4263.6"/>
        <n v="12990.0"/>
        <n v="18622.8"/>
        <n v="28811.0"/>
        <n v="33706.0"/>
        <n v="21887.24"/>
        <n v="21774.0"/>
        <n v="33387.12"/>
        <n v="27065.88"/>
        <n v="5990.0"/>
        <n v="2900.0"/>
        <n v="2790.0"/>
        <n v="2100.0"/>
        <n v="6800.0"/>
        <n v="27600.0"/>
        <n v="5040.0"/>
        <n v="3626.0"/>
        <n v="38312.04"/>
        <n v="62626.12"/>
        <n v="5256.9"/>
        <n v="3483.9"/>
        <n v="8151.0"/>
        <n v="11880.0"/>
        <n v="3113.6"/>
        <n v="4150.0"/>
        <n v="3190.0"/>
        <n v="18990.0"/>
        <n v="4633.2"/>
        <n v="2247.5"/>
        <n v="4546.6"/>
        <n v="15664.0"/>
        <n v="19174.8"/>
        <n v="21251.64"/>
        <n v="24937.5"/>
        <n v="6167.7"/>
        <n v="1960.2"/>
        <n v="7623.0"/>
        <n v="1870.6"/>
        <n v="1200.0"/>
        <n v="5100.0"/>
        <n v="14290.0"/>
        <n v="26010.68"/>
        <n v="9420.84"/>
        <n v="13670.4"/>
        <n v="49225.08"/>
        <n v="16225.0"/>
        <n v="25991.0"/>
        <n v="20990.0"/>
        <n v="3157.0"/>
        <n v="7328.0"/>
        <n v="14376.6"/>
        <n v="6555.0"/>
        <n v="3795.0"/>
        <n v="2397.0"/>
        <n v="13167.0"/>
        <n v="2750.0"/>
        <n v="7155.0"/>
        <n v="3355.8"/>
        <n v="1500.0"/>
        <n v="6900.0"/>
        <n v="6950.0"/>
        <n v="1800.0"/>
        <n v="9990.0"/>
        <n v="4600.0"/>
        <n v="7500.0"/>
        <n v="19662.84"/>
        <n v="80300.72"/>
        <n v="13243.56"/>
        <n v="21206.28"/>
        <n v="25635.5"/>
        <n v="17234.6"/>
        <n v="4040.6"/>
        <n v="10777.6"/>
        <n v="17022.6"/>
        <n v="7442.4"/>
        <n v="5828.0"/>
        <n v="4878.0"/>
        <n v="4763.88"/>
        <n v="6838.8"/>
        <n v="3881.04"/>
        <n v="4477.0"/>
        <n v="3160.0"/>
        <n v="3084.48"/>
        <n v="3788.2"/>
        <n v="5525.68"/>
        <n v="2631.2"/>
        <n v="6372.0"/>
        <n v="1982.4"/>
        <n v="2990.0"/>
        <n v="4390.0"/>
        <n v="18550.0"/>
        <n v="15980.0"/>
        <n v="5550.0"/>
        <n v="1750.0"/>
        <n v="2250.0"/>
        <n v="7490.0"/>
        <n v="25610.0"/>
        <n v="15587.0"/>
        <n v="18616.2"/>
        <n v="40614.6"/>
        <n v="7875.0"/>
        <n v="17964.84"/>
        <n v="24976.1"/>
        <n v="9535.4"/>
        <n v="2158.2"/>
        <n v="3234.0"/>
        <n v="4521.2"/>
        <n v="4420.2"/>
        <n v="1110.0"/>
        <n v="7037.0"/>
        <n v="1780.2"/>
        <n v="5954.0"/>
        <n v="6264.6"/>
        <n v="6031.2"/>
        <n v="24220.6"/>
        <n v="2587.0"/>
        <n v="999.0"/>
        <n v="4070.4"/>
        <n v="1288.0"/>
        <n v="5140.8"/>
        <n v="19150.0"/>
        <n v="4500.0"/>
        <n v="9750.0"/>
        <n v="11990.0"/>
        <n v="4250.0"/>
        <n v="2470.0"/>
        <n v="32775.3"/>
        <n v="21929.6"/>
        <n v="22950.6"/>
        <n v="38797.24"/>
        <n v="38759.76"/>
        <n v="13417.36"/>
        <n v="9009.0"/>
        <n v="3795.16"/>
        <n v="12680.36"/>
        <n v="22484.7"/>
        <n v="5423.16"/>
        <n v="6596.8"/>
        <n v="8299.2"/>
        <n v="2968.08"/>
        <n v="4019.4"/>
        <n v="4592.56"/>
        <n v="3043.0"/>
        <n v="2194.2"/>
        <n v="3603.6"/>
        <n v="2231.04"/>
        <n v="4081.84"/>
        <n v="2650.0"/>
        <n v="21990.0"/>
        <n v="14350.0"/>
        <n v="9980.0"/>
        <n v="3900.0"/>
        <n v="21956.52"/>
        <n v="51606.72"/>
        <n v="15574.4"/>
        <n v="35721.52"/>
        <n v="30917.36"/>
        <n v="29810.7"/>
        <n v="11920.1"/>
        <n v="5296.2"/>
        <n v="8652.8"/>
        <n v="3919.8"/>
        <n v="1449.9"/>
        <n v="4419.7"/>
        <n v="3520.0"/>
        <n v="3920.8"/>
        <n v="11677.9"/>
        <n v="1345.5"/>
        <n v="6398.6"/>
        <n v="16757.7"/>
        <n v="2701.8"/>
        <n v="4075.5"/>
        <n v="9350.0"/>
        <n v="1754.2"/>
        <n v="650.0"/>
        <n v="3723.2"/>
        <n v="3000.0"/>
        <n v="21900.0"/>
        <n v="7600.0"/>
        <n v="36550.0"/>
        <n v="5450.0"/>
        <n v="20833.12"/>
        <n v="14195.0"/>
        <n v="34426.48"/>
        <n v="35056.08"/>
        <n v="8331.12"/>
        <n v="32391.0"/>
        <n v="18029.9"/>
        <n v="3504.6"/>
        <n v="14061.6"/>
        <n v="8079.4"/>
        <n v="7961.0"/>
        <n v="2830.2"/>
        <n v="7759.2"/>
        <n v="5120.5"/>
        <n v="3586.6"/>
        <n v="2249.9"/>
        <n v="2891.2"/>
        <n v="3063.4"/>
        <n v="1435.2"/>
        <n v="19305.2"/>
        <n v="18750.0"/>
        <n v="22850.0"/>
        <n v="12950.0"/>
        <n v="2400.0"/>
        <n v="5300.0"/>
        <n v="9900.0"/>
        <n v="1920.0"/>
        <n v="4282.8"/>
        <n v="15958.8"/>
        <n v="3399.0"/>
        <n v="2804.6"/>
        <n v="5259.8"/>
        <n v="1387.2"/>
        <n v="2190.0"/>
        <n v="18500.0"/>
        <n v="2890.0"/>
        <n v="3380.0"/>
        <n v="27500.0"/>
        <n v="12954.16"/>
        <n v="27302.04"/>
        <n v="34372.52"/>
        <n v="15297.88"/>
        <n v="23161.64"/>
        <n v="16063.08"/>
        <n v="26149.0"/>
        <n v="3030.2"/>
        <n v="3405.6"/>
        <n v="5221.2"/>
        <n v="7482.4"/>
        <n v="3422.4"/>
        <n v="13570.2"/>
        <n v="1150.0"/>
        <n v="20950.0"/>
        <n v="7058.7"/>
        <n v="2889.6"/>
        <n v="15892.6"/>
        <n v="1269.9"/>
        <n v="7151.9"/>
        <n v="46619.16"/>
        <n v="13256.2"/>
        <n v="16182.08"/>
        <n v="31537.44"/>
        <n v="40719.24"/>
        <n v="4664.8"/>
        <n v="5015.1"/>
        <n v="3009.6"/>
        <n v="2769.0"/>
        <n v="6429.1"/>
        <n v="2926.7"/>
        <n v="3306.9"/>
        <n v="3500.0"/>
        <n v="1550.0"/>
        <n v="3371.2"/>
        <n v="2428.24"/>
        <n v="5271.0"/>
        <n v="4765.2"/>
        <n v="8450.0"/>
        <n v="4290.0"/>
        <n v="18900.0"/>
        <n v="2800.0"/>
        <n v="9450.0"/>
        <n v="31924.64"/>
        <n v="17801.72"/>
        <n v="52934.76"/>
        <n v="12272.64"/>
        <n v="45217.0"/>
        <n v="2902.8"/>
        <n v="9374.4"/>
        <n v="3163.08"/>
        <n v="1071.6"/>
        <n v="3350.88"/>
        <n v="20438.0"/>
        <n v="4769.52"/>
        <n v="6036.36"/>
        <n v="2300.0"/>
        <n v="22750.0"/>
        <n v="33507.68"/>
        <n v="31419.04"/>
        <n v="16825.72"/>
        <n v="25361.2"/>
        <n v="12371.6"/>
        <n v="45817.2"/>
        <n v="2853.9"/>
        <n v="6045.2"/>
        <n v="2071.1"/>
        <n v="6170.5"/>
        <n v="19968.9"/>
        <n v="2342.2"/>
        <n v="3860.6"/>
        <n v="1543.8"/>
        <n v="6165.5"/>
        <n v="10713.1"/>
        <n v="6118.4"/>
        <n v="6614.4"/>
        <n v="2111.9"/>
        <n v="3300.0"/>
        <n v="17950.0"/>
        <n v="1890.0"/>
        <n v="2880.0"/>
        <n v="5400.0"/>
        <n v="3657.3"/>
        <n v="22990.0"/>
        <n v="5700.1"/>
        <n v="12556.9"/>
        <n v="21600.0"/>
        <n v="2850.0"/>
        <n v="73346.4"/>
        <n v="13658.92"/>
        <n v="22580.0"/>
        <n v="26832.4"/>
        <n v="32716.16"/>
        <n v="26710.2"/>
        <n v="3612.0"/>
        <n v="3393.0"/>
        <n v="2581.2"/>
        <n v="10573.5"/>
        <n v="2535.0"/>
        <n v="2366.1"/>
        <n v="1444.2"/>
        <n v="3496.9"/>
        <n v="2046.6"/>
        <n v="4218.0"/>
        <n v="2150.0"/>
        <n v="2678.0"/>
        <n v="8464.5"/>
        <n v="2194.5"/>
        <n v="1195.2"/>
        <n v="9276.9"/>
        <n v="3302.4"/>
        <n v="9102.0"/>
        <n v="31980.0"/>
        <n v="4190.0"/>
        <n v="3278.0"/>
        <n v="19990.0"/>
        <n v="4149.0"/>
        <n v="8671.0"/>
        <n v="45126.9"/>
        <n v="34327.1"/>
        <n v="33474.7"/>
        <n v="9576.0"/>
        <n v="26980.0"/>
        <n v="29323.3"/>
        <n v="3402.0"/>
        <n v="5380.5"/>
        <n v="1059.3"/>
        <n v="2369.1"/>
        <n v="3302.2"/>
        <n v="4550.0"/>
        <n v="2350.0"/>
        <n v="1900.0"/>
        <n v="42763.3"/>
        <n v="39877.2"/>
        <n v="18338.4"/>
        <n v="40776.0"/>
        <n v="64672.2"/>
        <n v="7543.8"/>
        <n v="11771.0"/>
        <n v="3049.2"/>
        <n v="5272.8"/>
        <n v="6617.4"/>
        <n v="4032.0"/>
        <n v="3099.6"/>
        <n v="2905.4"/>
        <n v="1394.4"/>
        <n v="9958.4"/>
        <n v="1496.4"/>
        <n v="4670.4"/>
        <n v="2298.4"/>
        <n v="2024.0"/>
        <n v="1558.2"/>
        <n v="9169.8"/>
        <n v="9200.0"/>
        <n v="7150.0"/>
        <n v="2950.0"/>
        <n v="16350.0"/>
        <n v="2500.0"/>
        <n v="6300.0"/>
        <n v="17800.0"/>
        <n v="25990.0"/>
        <n v="2680.0"/>
        <n v="9396.24"/>
        <n v="11980.0"/>
        <n v="3111.48"/>
        <n v="10752.04"/>
        <n v="1020.6"/>
        <n v="2740.32"/>
        <n v="4318.92"/>
        <n v="39660.6"/>
        <n v="13664.8"/>
        <n v="25631.0"/>
        <n v="18459.0"/>
        <n v="44424.6"/>
        <n v="10059.4"/>
        <n v="14781.72"/>
        <n v="5448.8"/>
        <n v="2147.04"/>
        <n v="5056.8"/>
        <n v="4496.48"/>
        <n v="1164.24"/>
        <n v="1639.0"/>
        <n v="19800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6_top_food_categories" cacheId="0" dataCaption="" compact="0" compactData="0">
  <location ref="A3:M19" firstHeaderRow="0" firstDataRow="1" firstDataCol="2" rowPageCount="1" colPageCount="1"/>
  <pivotFields>
    <pivotField name="year" compact="0" outline="0" multipleItemSelectionAllowed="1" showAll="0">
      <items>
        <item x="0"/>
        <item t="default"/>
      </items>
    </pivotField>
    <pivotField name="month" axis="axisCol" compact="0" outline="0" multipleItemSelectionAllowed="1" showAll="0" sortType="ascending">
      <items>
        <item x="2"/>
        <item x="6"/>
        <item x="10"/>
        <item x="0"/>
        <item x="5"/>
        <item x="4"/>
        <item x="1"/>
        <item x="3"/>
        <item x="9"/>
        <item x="8"/>
        <item x="7"/>
        <item t="default"/>
      </items>
    </pivotField>
    <pivotField name="month_helper" axis="axisCol" compact="0" outline="0" multipleItemSelectionAllowed="1" showAll="0" sortType="ascending" defaultSubtotal="0">
      <items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name="half" compact="0" outline="0" multipleItemSelectionAllowed="1" showAll="0">
      <items>
        <item x="0"/>
        <item x="1"/>
        <item t="default"/>
      </items>
    </pivotField>
    <pivotField name="half_helper" compact="0" outline="0" multipleItemSelectionAllowed="1" showAll="0">
      <items>
        <item x="0"/>
        <item x="1"/>
        <item t="default"/>
      </items>
    </pivotField>
    <pivotField name="store" compact="0" outline="0" multipleItemSelectionAllowed="1" showAll="0">
      <items>
        <item x="0"/>
        <item x="1"/>
        <item t="default"/>
      </items>
    </pivotField>
    <pivotField name="product_category_main" axis="axisPage" compact="0" outline="0" multipleItemSelectionAllowed="1" showAll="0">
      <items>
        <item x="0"/>
        <item h="1" x="1"/>
        <item h="1" x="2"/>
        <item t="default"/>
      </items>
    </pivotField>
    <pivotField name="product_category_detail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produc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t="default"/>
      </items>
    </pivotField>
    <pivotField name="bran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possible_dups" compact="0" numFmtId="3" outline="0" multipleItemSelectionAllowed="1" showAll="0">
      <items>
        <item x="0"/>
        <item x="1"/>
        <item t="default"/>
      </items>
    </pivotField>
    <pivotField name="weight_gr_ml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ic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t="default"/>
      </items>
    </pivotField>
    <pivotField name="total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t="default"/>
      </items>
    </pivotField>
  </pivotFields>
  <rowFields>
    <field x="7"/>
  </rowFields>
  <colFields>
    <field x="2"/>
    <field x="1"/>
  </colFields>
  <pageFields>
    <pageField fld="6"/>
  </pageFields>
  <dataFields>
    <dataField name="SUM of total" fld="14" showDataAs="percentOfTotal" baseField="0" numFmtId="10"/>
  </dataFields>
</pivotTableDefinition>
</file>

<file path=xl/pivotTables/pivotTable2.xml><?xml version="1.0" encoding="utf-8"?>
<pivotTableDefinition xmlns="http://schemas.openxmlformats.org/spreadsheetml/2006/main" name="pivot5_top_products_driving_spe" cacheId="0" dataCaption="" compact="0" compactData="0">
  <location ref="A3:B126" firstHeaderRow="0" firstDataRow="1" firstDataCol="0" rowPageCount="1" colPageCount="1"/>
  <pivotFields>
    <pivotField name="year" compact="0" outline="0" multipleItemSelectionAllowed="1" showAll="0">
      <items>
        <item x="0"/>
        <item t="default"/>
      </items>
    </pivotField>
    <pivotField name="month" axis="axisP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month_help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half" compact="0" outline="0" multipleItemSelectionAllowed="1" showAll="0">
      <items>
        <item x="0"/>
        <item x="1"/>
        <item t="default"/>
      </items>
    </pivotField>
    <pivotField name="half_helper" compact="0" outline="0" multipleItemSelectionAllowed="1" showAll="0">
      <items>
        <item x="0"/>
        <item x="1"/>
        <item t="default"/>
      </items>
    </pivotField>
    <pivotField name="store" compact="0" outline="0" multipleItemSelectionAllowed="1" showAll="0">
      <items>
        <item x="0"/>
        <item x="1"/>
        <item t="default"/>
      </items>
    </pivotField>
    <pivotField name="product_category_main" compact="0" outline="0" multipleItemSelectionAllowed="1" showAll="0">
      <items>
        <item x="0"/>
        <item x="1"/>
        <item x="2"/>
        <item t="default"/>
      </items>
    </pivotField>
    <pivotField name="product_category_detai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product_name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bran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possible_dups" compact="0" numFmtId="3" outline="0" multipleItemSelectionAllowed="1" showAll="0">
      <items>
        <item x="0"/>
        <item x="1"/>
        <item t="default"/>
      </items>
    </pivotField>
    <pivotField name="weight_gr_ml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ic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t="default"/>
      </items>
    </pivotField>
    <pivotField name="total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t="default"/>
      </items>
    </pivotField>
  </pivotFields>
  <rowFields>
    <field x="8"/>
  </rowFields>
  <pageFields>
    <pageField fld="1"/>
  </pageFields>
  <dataFields>
    <dataField name="SUM of total" fld="14" baseField="0"/>
  </dataFields>
</pivotTableDefinition>
</file>

<file path=xl/pivotTables/pivotTable3.xml><?xml version="1.0" encoding="utf-8"?>
<pivotTableDefinition xmlns="http://schemas.openxmlformats.org/spreadsheetml/2006/main" name="pivot4_category_contribution_to" cacheId="0" dataCaption="" compact="0" compactData="0">
  <location ref="A1:B5" firstHeaderRow="0" firstDataRow="1" firstDataCol="0"/>
  <pivotFields>
    <pivotField name="year" compact="0" outline="0" multipleItemSelectionAllowed="1" showAll="0">
      <items>
        <item x="0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month_help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half" compact="0" outline="0" multipleItemSelectionAllowed="1" showAll="0">
      <items>
        <item x="0"/>
        <item x="1"/>
        <item t="default"/>
      </items>
    </pivotField>
    <pivotField name="half_helper" compact="0" outline="0" multipleItemSelectionAllowed="1" showAll="0">
      <items>
        <item x="0"/>
        <item x="1"/>
        <item t="default"/>
      </items>
    </pivotField>
    <pivotField name="store" compact="0" outline="0" multipleItemSelectionAllowed="1" showAll="0">
      <items>
        <item x="0"/>
        <item x="1"/>
        <item t="default"/>
      </items>
    </pivotField>
    <pivotField name="product_category_main" axis="axisRow" compact="0" outline="0" multipleItemSelectionAllowed="1" showAll="0" sortType="descending">
      <items>
        <item x="0"/>
        <item x="1"/>
        <item x="2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product_category_detai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produc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t="default"/>
      </items>
    </pivotField>
    <pivotField name="bran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possible_dups" compact="0" numFmtId="3" outline="0" multipleItemSelectionAllowed="1" showAll="0">
      <items>
        <item x="0"/>
        <item x="1"/>
        <item t="default"/>
      </items>
    </pivotField>
    <pivotField name="weight_gr_ml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ic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t="default"/>
      </items>
    </pivotField>
    <pivotField name="total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t="default"/>
      </items>
    </pivotField>
  </pivotFields>
  <rowFields>
    <field x="6"/>
  </rowFields>
  <dataFields>
    <dataField name="SUM of total" fld="14" showDataAs="percentOfTotal" baseField="0" numFmtId="10"/>
  </dataFields>
</pivotTableDefinition>
</file>

<file path=xl/pivotTables/pivotTable4.xml><?xml version="1.0" encoding="utf-8"?>
<pivotTableDefinition xmlns="http://schemas.openxmlformats.org/spreadsheetml/2006/main" name="pivot3_monthly_spending_by_main" cacheId="0" dataCaption="" compact="0" compactData="0">
  <location ref="A1:F14" firstHeaderRow="0" firstDataRow="2" firstDataCol="1"/>
  <pivotFields>
    <pivotField name="year" compact="0" outline="0" multipleItemSelectionAllowed="1" showAll="0">
      <items>
        <item x="0"/>
        <item t="default"/>
      </items>
    </pivotField>
    <pivotField name="month" axis="axisRow" compact="0" outline="0" multipleItemSelectionAllowed="1" showAll="0" sortType="ascending">
      <items>
        <item x="2"/>
        <item x="6"/>
        <item x="10"/>
        <item x="0"/>
        <item x="5"/>
        <item x="4"/>
        <item x="1"/>
        <item x="3"/>
        <item x="9"/>
        <item x="8"/>
        <item x="7"/>
        <item t="default"/>
      </items>
    </pivotField>
    <pivotField name="month_helper" axis="axisRow" compact="0" outline="0" multipleItemSelectionAllowed="1" showAll="0" sortType="ascending" defaultSubtotal="0">
      <items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name="half" compact="0" outline="0" multipleItemSelectionAllowed="1" showAll="0">
      <items>
        <item x="0"/>
        <item x="1"/>
        <item t="default"/>
      </items>
    </pivotField>
    <pivotField name="half_helper" compact="0" outline="0" multipleItemSelectionAllowed="1" showAll="0">
      <items>
        <item x="0"/>
        <item x="1"/>
        <item t="default"/>
      </items>
    </pivotField>
    <pivotField name="store" compact="0" outline="0" multipleItemSelectionAllowed="1" showAll="0">
      <items>
        <item x="0"/>
        <item x="1"/>
        <item t="default"/>
      </items>
    </pivotField>
    <pivotField name="product_category_main" axis="axisCol" compact="0" outline="0" multipleItemSelectionAllowed="1" showAll="0" sortType="descending">
      <items>
        <item x="0"/>
        <item x="1"/>
        <item x="2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product_category_detai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produc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t="default"/>
      </items>
    </pivotField>
    <pivotField name="bran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possible_dups" compact="0" numFmtId="3" outline="0" multipleItemSelectionAllowed="1" showAll="0">
      <items>
        <item x="0"/>
        <item x="1"/>
        <item t="default"/>
      </items>
    </pivotField>
    <pivotField name="weight_gr_ml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ic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t="default"/>
      </items>
    </pivotField>
    <pivotField name="total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t="default"/>
      </items>
    </pivotField>
  </pivotFields>
  <rowFields>
    <field x="2"/>
    <field x="1"/>
  </rowFields>
  <colFields>
    <field x="6"/>
  </colFields>
  <dataFields>
    <dataField name="SUM of total" fld="14" baseField="0"/>
  </dataFields>
</pivotTableDefinition>
</file>

<file path=xl/pivotTables/pivotTable5.xml><?xml version="1.0" encoding="utf-8"?>
<pivotTableDefinition xmlns="http://schemas.openxmlformats.org/spreadsheetml/2006/main" name="pivot2_h1_vs_h2_comparison" cacheId="0" dataCaption="" compact="0" compactData="0">
  <location ref="A1:E14" firstHeaderRow="0" firstDataRow="2" firstDataCol="1"/>
  <pivotFields>
    <pivotField name="year" compact="0" outline="0" multipleItemSelectionAllowed="1" showAll="0">
      <items>
        <item x="0"/>
        <item t="default"/>
      </items>
    </pivotField>
    <pivotField name="month" axis="axisRow" compact="0" outline="0" multipleItemSelectionAllowed="1" showAll="0" sortType="ascending">
      <items>
        <item x="2"/>
        <item x="6"/>
        <item x="10"/>
        <item x="0"/>
        <item x="5"/>
        <item x="4"/>
        <item x="1"/>
        <item x="3"/>
        <item x="9"/>
        <item x="8"/>
        <item x="7"/>
        <item t="default"/>
      </items>
    </pivotField>
    <pivotField name="month_helper" axis="axisRow" compact="0" outline="0" multipleItemSelectionAllowed="1" showAll="0" sortType="ascending" defaultSubtotal="0">
      <items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name="half" axis="axisCol" compact="0" outline="0" multipleItemSelectionAllowed="1" showAll="0" sortType="ascending">
      <items>
        <item x="0"/>
        <item x="1"/>
        <item t="default"/>
      </items>
    </pivotField>
    <pivotField name="half_helper" compact="0" outline="0" multipleItemSelectionAllowed="1" showAll="0">
      <items>
        <item x="0"/>
        <item x="1"/>
        <item t="default"/>
      </items>
    </pivotField>
    <pivotField name="store" compact="0" outline="0" multipleItemSelectionAllowed="1" showAll="0">
      <items>
        <item x="0"/>
        <item x="1"/>
        <item t="default"/>
      </items>
    </pivotField>
    <pivotField name="product_category_main" compact="0" outline="0" multipleItemSelectionAllowed="1" showAll="0">
      <items>
        <item x="0"/>
        <item x="1"/>
        <item x="2"/>
        <item t="default"/>
      </items>
    </pivotField>
    <pivotField name="product_category_detai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produc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t="default"/>
      </items>
    </pivotField>
    <pivotField name="bran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possible_dups" compact="0" numFmtId="3" outline="0" multipleItemSelectionAllowed="1" showAll="0">
      <items>
        <item x="0"/>
        <item x="1"/>
        <item t="default"/>
      </items>
    </pivotField>
    <pivotField name="weight_gr_ml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ic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t="default"/>
      </items>
    </pivotField>
    <pivotField name="total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t="default"/>
      </items>
    </pivotField>
  </pivotFields>
  <rowFields>
    <field x="2"/>
    <field x="1"/>
  </rowFields>
  <colFields>
    <field x="3"/>
  </colFields>
  <dataFields>
    <dataField name="SUM of total" fld="14" baseField="0"/>
  </dataFields>
</pivotTableDefinition>
</file>

<file path=xl/pivotTables/pivotTable6.xml><?xml version="1.0" encoding="utf-8"?>
<pivotTableDefinition xmlns="http://schemas.openxmlformats.org/spreadsheetml/2006/main" name="pivot1_total_monthly_household_" cacheId="0" dataCaption="" compact="0" compactData="0">
  <location ref="A1:C13" firstHeaderRow="0" firstDataRow="2" firstDataCol="0"/>
  <pivotFields>
    <pivotField name="year" compact="0" outline="0" multipleItemSelectionAllowed="1" showAll="0">
      <items>
        <item x="0"/>
        <item t="default"/>
      </items>
    </pivotField>
    <pivotField name="month" axis="axisRow" compact="0" outline="0" multipleItemSelectionAllowed="1" showAll="0" sortType="ascending">
      <items>
        <item x="2"/>
        <item x="6"/>
        <item x="10"/>
        <item x="0"/>
        <item x="5"/>
        <item x="4"/>
        <item x="1"/>
        <item x="3"/>
        <item x="9"/>
        <item x="8"/>
        <item x="7"/>
        <item t="default"/>
      </items>
    </pivotField>
    <pivotField name="month_helper" axis="axisRow" compact="0" outline="0" multipleItemSelectionAllowed="1" showAll="0" sortType="ascending" defaultSubtotal="0">
      <items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name="half" compact="0" outline="0" multipleItemSelectionAllowed="1" showAll="0">
      <items>
        <item x="0"/>
        <item x="1"/>
        <item t="default"/>
      </items>
    </pivotField>
    <pivotField name="half_helper" compact="0" outline="0" multipleItemSelectionAllowed="1" showAll="0">
      <items>
        <item x="0"/>
        <item x="1"/>
        <item t="default"/>
      </items>
    </pivotField>
    <pivotField name="store" compact="0" outline="0" multipleItemSelectionAllowed="1" showAll="0">
      <items>
        <item x="0"/>
        <item x="1"/>
        <item t="default"/>
      </items>
    </pivotField>
    <pivotField name="product_category_main" compact="0" outline="0" multipleItemSelectionAllowed="1" showAll="0">
      <items>
        <item x="0"/>
        <item x="1"/>
        <item x="2"/>
        <item t="default"/>
      </items>
    </pivotField>
    <pivotField name="product_category_detai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produc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t="default"/>
      </items>
    </pivotField>
    <pivotField name="bran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possible_dups" compact="0" numFmtId="3" outline="0" multipleItemSelectionAllowed="1" showAll="0">
      <items>
        <item x="0"/>
        <item x="1"/>
        <item t="default"/>
      </items>
    </pivotField>
    <pivotField name="weight_gr_ml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ic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t="default"/>
      </items>
    </pivotField>
    <pivotField name="total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t="default"/>
      </items>
    </pivotField>
  </pivotFields>
  <rowFields>
    <field x="2"/>
    <field x="1"/>
  </rowFields>
  <dataFields>
    <dataField name="SUM of total" fld="14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75"/>
    <col customWidth="1" min="2" max="2" width="8.63"/>
    <col customWidth="1" hidden="1" min="3" max="3" width="14.5"/>
    <col customWidth="1" min="4" max="4" width="7.88"/>
    <col customWidth="1" hidden="1" min="5" max="5" width="12.38"/>
    <col customWidth="1" min="6" max="6" width="9.5"/>
    <col customWidth="1" min="7" max="7" width="22.38"/>
    <col customWidth="1" min="8" max="8" width="22.88"/>
    <col customWidth="1" min="9" max="9" width="19.75"/>
    <col customWidth="1" hidden="1" min="10" max="10" width="9.38"/>
    <col customWidth="1" hidden="1" min="11" max="11" width="15.13"/>
    <col customWidth="1" min="12" max="12" width="9.38"/>
    <col customWidth="1" min="13" max="13" width="7.38"/>
    <col customWidth="1" min="14" max="14" width="9.38"/>
    <col customWidth="1" min="15" max="15" width="8.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1" t="s">
        <v>12</v>
      </c>
      <c r="N1" s="5" t="s">
        <v>13</v>
      </c>
      <c r="O1" s="5" t="s">
        <v>14</v>
      </c>
    </row>
    <row r="2">
      <c r="A2" s="6">
        <v>2025.0</v>
      </c>
      <c r="B2" s="6" t="s">
        <v>15</v>
      </c>
      <c r="C2" s="1">
        <f t="shared" ref="C2:C820" si="1">MONTH(DATEVALUE(B2 &amp; " 1"))</f>
        <v>2</v>
      </c>
      <c r="D2" s="2" t="s">
        <v>16</v>
      </c>
      <c r="E2" s="6">
        <f t="shared" ref="E2:E820" si="2">IF(D2="H1",1,2)</f>
        <v>1</v>
      </c>
      <c r="F2" s="6" t="s">
        <v>17</v>
      </c>
      <c r="G2" s="6" t="s">
        <v>18</v>
      </c>
      <c r="H2" s="6" t="s">
        <v>19</v>
      </c>
      <c r="I2" s="6" t="s">
        <v>20</v>
      </c>
      <c r="J2" s="6" t="s">
        <v>21</v>
      </c>
      <c r="K2" s="3" t="b">
        <f t="shared" ref="K2:K820" si="3">COUNTIFS(
  $A:$A, $A2,
  $B:$B, $B2,
  $D:$D, $D2, $F:$F, $F2,
  $I:$I, $I2
)&gt;1
</f>
        <v>0</v>
      </c>
      <c r="L2" s="3">
        <v>650.0</v>
      </c>
      <c r="M2" s="6">
        <v>1.0</v>
      </c>
      <c r="N2" s="7">
        <v>14500.0</v>
      </c>
      <c r="O2" s="7">
        <f t="shared" ref="O2:O6" si="4">N2*M2</f>
        <v>14500</v>
      </c>
    </row>
    <row r="3">
      <c r="A3" s="6">
        <v>2025.0</v>
      </c>
      <c r="B3" s="6" t="s">
        <v>15</v>
      </c>
      <c r="C3" s="1">
        <f t="shared" si="1"/>
        <v>2</v>
      </c>
      <c r="D3" s="2" t="s">
        <v>16</v>
      </c>
      <c r="E3" s="6">
        <f t="shared" si="2"/>
        <v>1</v>
      </c>
      <c r="F3" s="6" t="s">
        <v>17</v>
      </c>
      <c r="G3" s="6" t="s">
        <v>18</v>
      </c>
      <c r="H3" s="6" t="s">
        <v>19</v>
      </c>
      <c r="I3" s="6" t="s">
        <v>22</v>
      </c>
      <c r="J3" s="6" t="s">
        <v>23</v>
      </c>
      <c r="K3" s="3" t="b">
        <f t="shared" si="3"/>
        <v>0</v>
      </c>
      <c r="L3" s="3">
        <v>900.0</v>
      </c>
      <c r="M3" s="6">
        <v>5.0</v>
      </c>
      <c r="N3" s="7">
        <v>3400.0</v>
      </c>
      <c r="O3" s="7">
        <f t="shared" si="4"/>
        <v>17000</v>
      </c>
    </row>
    <row r="4">
      <c r="A4" s="6">
        <v>2025.0</v>
      </c>
      <c r="B4" s="6" t="s">
        <v>15</v>
      </c>
      <c r="C4" s="1">
        <f t="shared" si="1"/>
        <v>2</v>
      </c>
      <c r="D4" s="2" t="s">
        <v>16</v>
      </c>
      <c r="E4" s="6">
        <f t="shared" si="2"/>
        <v>1</v>
      </c>
      <c r="F4" s="6" t="s">
        <v>17</v>
      </c>
      <c r="G4" s="6" t="s">
        <v>18</v>
      </c>
      <c r="H4" s="6" t="s">
        <v>24</v>
      </c>
      <c r="I4" s="6" t="s">
        <v>25</v>
      </c>
      <c r="J4" s="6" t="s">
        <v>26</v>
      </c>
      <c r="K4" s="3" t="b">
        <f t="shared" si="3"/>
        <v>0</v>
      </c>
      <c r="L4" s="3">
        <v>150.0</v>
      </c>
      <c r="M4" s="6">
        <v>1.0</v>
      </c>
      <c r="N4" s="7">
        <v>6490.0</v>
      </c>
      <c r="O4" s="7">
        <f t="shared" si="4"/>
        <v>6490</v>
      </c>
    </row>
    <row r="5">
      <c r="A5" s="6">
        <v>2025.0</v>
      </c>
      <c r="B5" s="6" t="s">
        <v>15</v>
      </c>
      <c r="C5" s="1">
        <f t="shared" si="1"/>
        <v>2</v>
      </c>
      <c r="D5" s="2" t="s">
        <v>16</v>
      </c>
      <c r="E5" s="6">
        <f t="shared" si="2"/>
        <v>1</v>
      </c>
      <c r="F5" s="6" t="s">
        <v>17</v>
      </c>
      <c r="G5" s="6" t="s">
        <v>18</v>
      </c>
      <c r="H5" s="6" t="s">
        <v>27</v>
      </c>
      <c r="I5" s="6" t="s">
        <v>28</v>
      </c>
      <c r="J5" s="6" t="s">
        <v>29</v>
      </c>
      <c r="K5" s="3" t="b">
        <f t="shared" si="3"/>
        <v>0</v>
      </c>
      <c r="L5" s="3">
        <v>200.0</v>
      </c>
      <c r="M5" s="6">
        <v>1.0</v>
      </c>
      <c r="N5" s="7">
        <v>3490.0</v>
      </c>
      <c r="O5" s="7">
        <f t="shared" si="4"/>
        <v>3490</v>
      </c>
    </row>
    <row r="6">
      <c r="A6" s="6">
        <v>2025.0</v>
      </c>
      <c r="B6" s="6" t="s">
        <v>15</v>
      </c>
      <c r="C6" s="1">
        <f t="shared" si="1"/>
        <v>2</v>
      </c>
      <c r="D6" s="2" t="s">
        <v>16</v>
      </c>
      <c r="E6" s="6">
        <f t="shared" si="2"/>
        <v>1</v>
      </c>
      <c r="F6" s="6" t="s">
        <v>30</v>
      </c>
      <c r="G6" s="6" t="s">
        <v>18</v>
      </c>
      <c r="H6" s="6" t="s">
        <v>31</v>
      </c>
      <c r="I6" s="6" t="s">
        <v>32</v>
      </c>
      <c r="J6" s="6" t="s">
        <v>30</v>
      </c>
      <c r="K6" s="3" t="b">
        <f t="shared" si="3"/>
        <v>0</v>
      </c>
      <c r="L6" s="3">
        <v>900.0</v>
      </c>
      <c r="M6" s="6">
        <v>1.0</v>
      </c>
      <c r="N6" s="7">
        <v>7200.0</v>
      </c>
      <c r="O6" s="7">
        <f t="shared" si="4"/>
        <v>7200</v>
      </c>
    </row>
    <row r="7">
      <c r="A7" s="6">
        <v>2025.0</v>
      </c>
      <c r="B7" s="6" t="s">
        <v>15</v>
      </c>
      <c r="C7" s="1">
        <f t="shared" si="1"/>
        <v>2</v>
      </c>
      <c r="D7" s="2" t="s">
        <v>16</v>
      </c>
      <c r="E7" s="6">
        <f t="shared" si="2"/>
        <v>1</v>
      </c>
      <c r="F7" s="6" t="s">
        <v>30</v>
      </c>
      <c r="G7" s="6" t="s">
        <v>18</v>
      </c>
      <c r="H7" s="6" t="s">
        <v>33</v>
      </c>
      <c r="I7" s="6" t="s">
        <v>34</v>
      </c>
      <c r="J7" s="6" t="s">
        <v>30</v>
      </c>
      <c r="K7" s="3" t="b">
        <f t="shared" si="3"/>
        <v>0</v>
      </c>
      <c r="L7" s="3">
        <v>1118.0</v>
      </c>
      <c r="N7" s="7">
        <v>7980.0</v>
      </c>
      <c r="O7" s="7">
        <f t="shared" ref="O7:O8" si="5">N7*L7/1000</f>
        <v>8921.64</v>
      </c>
    </row>
    <row r="8">
      <c r="A8" s="6">
        <v>2025.0</v>
      </c>
      <c r="B8" s="6" t="s">
        <v>15</v>
      </c>
      <c r="C8" s="1">
        <f t="shared" si="1"/>
        <v>2</v>
      </c>
      <c r="D8" s="2" t="s">
        <v>16</v>
      </c>
      <c r="E8" s="6">
        <f t="shared" si="2"/>
        <v>1</v>
      </c>
      <c r="F8" s="6" t="s">
        <v>30</v>
      </c>
      <c r="G8" s="6" t="s">
        <v>18</v>
      </c>
      <c r="H8" s="6" t="s">
        <v>35</v>
      </c>
      <c r="I8" s="6" t="s">
        <v>36</v>
      </c>
      <c r="J8" s="6" t="s">
        <v>30</v>
      </c>
      <c r="K8" s="3" t="b">
        <f t="shared" si="3"/>
        <v>0</v>
      </c>
      <c r="L8" s="3">
        <v>106.0</v>
      </c>
      <c r="N8" s="7">
        <v>15000.0</v>
      </c>
      <c r="O8" s="7">
        <f t="shared" si="5"/>
        <v>1590</v>
      </c>
    </row>
    <row r="9">
      <c r="A9" s="6">
        <v>2025.0</v>
      </c>
      <c r="B9" s="6" t="s">
        <v>15</v>
      </c>
      <c r="C9" s="1">
        <f t="shared" si="1"/>
        <v>2</v>
      </c>
      <c r="D9" s="2" t="s">
        <v>16</v>
      </c>
      <c r="E9" s="6">
        <f t="shared" si="2"/>
        <v>1</v>
      </c>
      <c r="F9" s="6" t="s">
        <v>30</v>
      </c>
      <c r="G9" s="6" t="s">
        <v>18</v>
      </c>
      <c r="H9" s="6" t="s">
        <v>37</v>
      </c>
      <c r="I9" s="6" t="s">
        <v>38</v>
      </c>
      <c r="J9" s="6" t="s">
        <v>39</v>
      </c>
      <c r="K9" s="3" t="b">
        <f t="shared" si="3"/>
        <v>0</v>
      </c>
      <c r="L9" s="3">
        <v>160.0</v>
      </c>
      <c r="M9" s="6">
        <v>1.0</v>
      </c>
      <c r="N9" s="7">
        <v>4990.0</v>
      </c>
      <c r="O9" s="7">
        <f t="shared" ref="O9:O11" si="6">N9*M9</f>
        <v>4990</v>
      </c>
    </row>
    <row r="10">
      <c r="A10" s="6">
        <v>2025.0</v>
      </c>
      <c r="B10" s="6" t="s">
        <v>15</v>
      </c>
      <c r="C10" s="1">
        <f t="shared" si="1"/>
        <v>2</v>
      </c>
      <c r="D10" s="2" t="s">
        <v>16</v>
      </c>
      <c r="E10" s="6">
        <f t="shared" si="2"/>
        <v>1</v>
      </c>
      <c r="F10" s="6" t="s">
        <v>30</v>
      </c>
      <c r="G10" s="6" t="s">
        <v>18</v>
      </c>
      <c r="H10" s="6" t="s">
        <v>27</v>
      </c>
      <c r="I10" s="6" t="s">
        <v>40</v>
      </c>
      <c r="J10" s="6" t="s">
        <v>41</v>
      </c>
      <c r="K10" s="3" t="b">
        <f t="shared" si="3"/>
        <v>0</v>
      </c>
      <c r="L10" s="3">
        <v>2500.0</v>
      </c>
      <c r="M10" s="6">
        <v>1.0</v>
      </c>
      <c r="N10" s="7">
        <v>8900.0</v>
      </c>
      <c r="O10" s="7">
        <f t="shared" si="6"/>
        <v>8900</v>
      </c>
    </row>
    <row r="11">
      <c r="A11" s="6">
        <v>2025.0</v>
      </c>
      <c r="B11" s="6" t="s">
        <v>15</v>
      </c>
      <c r="C11" s="1">
        <f t="shared" si="1"/>
        <v>2</v>
      </c>
      <c r="D11" s="2" t="s">
        <v>16</v>
      </c>
      <c r="E11" s="6">
        <f t="shared" si="2"/>
        <v>1</v>
      </c>
      <c r="F11" s="6" t="s">
        <v>30</v>
      </c>
      <c r="G11" s="6" t="s">
        <v>18</v>
      </c>
      <c r="H11" s="6" t="s">
        <v>24</v>
      </c>
      <c r="I11" s="6" t="s">
        <v>42</v>
      </c>
      <c r="J11" s="6" t="s">
        <v>43</v>
      </c>
      <c r="K11" s="3" t="b">
        <f t="shared" si="3"/>
        <v>0</v>
      </c>
      <c r="L11" s="3">
        <v>400.0</v>
      </c>
      <c r="M11" s="6">
        <v>1.0</v>
      </c>
      <c r="N11" s="7">
        <v>15990.0</v>
      </c>
      <c r="O11" s="7">
        <f t="shared" si="6"/>
        <v>15990</v>
      </c>
    </row>
    <row r="12">
      <c r="A12" s="6">
        <v>2025.0</v>
      </c>
      <c r="B12" s="6" t="s">
        <v>15</v>
      </c>
      <c r="C12" s="1">
        <f t="shared" si="1"/>
        <v>2</v>
      </c>
      <c r="D12" s="2" t="s">
        <v>16</v>
      </c>
      <c r="E12" s="6">
        <f t="shared" si="2"/>
        <v>1</v>
      </c>
      <c r="F12" s="6" t="s">
        <v>30</v>
      </c>
      <c r="G12" s="6" t="s">
        <v>18</v>
      </c>
      <c r="H12" s="6" t="s">
        <v>37</v>
      </c>
      <c r="I12" s="6" t="s">
        <v>44</v>
      </c>
      <c r="J12" s="6" t="s">
        <v>30</v>
      </c>
      <c r="K12" s="3" t="b">
        <f t="shared" si="3"/>
        <v>0</v>
      </c>
      <c r="L12" s="3">
        <v>1000.0</v>
      </c>
      <c r="N12" s="7">
        <v>10980.0</v>
      </c>
      <c r="O12" s="7">
        <f t="shared" ref="O12:O18" si="7">N12*L12/1000</f>
        <v>10980</v>
      </c>
    </row>
    <row r="13">
      <c r="A13" s="6">
        <v>2025.0</v>
      </c>
      <c r="B13" s="6" t="s">
        <v>15</v>
      </c>
      <c r="C13" s="1">
        <f t="shared" si="1"/>
        <v>2</v>
      </c>
      <c r="D13" s="2" t="s">
        <v>16</v>
      </c>
      <c r="E13" s="6">
        <f t="shared" si="2"/>
        <v>1</v>
      </c>
      <c r="F13" s="6" t="s">
        <v>30</v>
      </c>
      <c r="G13" s="6" t="s">
        <v>18</v>
      </c>
      <c r="H13" s="6" t="s">
        <v>37</v>
      </c>
      <c r="I13" s="6" t="s">
        <v>45</v>
      </c>
      <c r="J13" s="6" t="s">
        <v>30</v>
      </c>
      <c r="K13" s="3" t="b">
        <f t="shared" si="3"/>
        <v>0</v>
      </c>
      <c r="L13" s="3">
        <v>1056.0</v>
      </c>
      <c r="N13" s="7">
        <v>19400.0</v>
      </c>
      <c r="O13" s="7">
        <f t="shared" si="7"/>
        <v>20486.4</v>
      </c>
    </row>
    <row r="14">
      <c r="A14" s="6">
        <v>2025.0</v>
      </c>
      <c r="B14" s="6" t="s">
        <v>15</v>
      </c>
      <c r="C14" s="1">
        <f t="shared" si="1"/>
        <v>2</v>
      </c>
      <c r="D14" s="2" t="s">
        <v>16</v>
      </c>
      <c r="E14" s="6">
        <f t="shared" si="2"/>
        <v>1</v>
      </c>
      <c r="F14" s="6" t="s">
        <v>30</v>
      </c>
      <c r="G14" s="6" t="s">
        <v>18</v>
      </c>
      <c r="H14" s="6" t="s">
        <v>37</v>
      </c>
      <c r="I14" s="6" t="s">
        <v>46</v>
      </c>
      <c r="J14" s="6" t="s">
        <v>30</v>
      </c>
      <c r="K14" s="3" t="b">
        <f t="shared" si="3"/>
        <v>0</v>
      </c>
      <c r="L14" s="3">
        <v>606.0</v>
      </c>
      <c r="N14" s="7">
        <v>28580.0</v>
      </c>
      <c r="O14" s="7">
        <f t="shared" si="7"/>
        <v>17319.48</v>
      </c>
    </row>
    <row r="15">
      <c r="A15" s="6">
        <v>2025.0</v>
      </c>
      <c r="B15" s="6" t="s">
        <v>15</v>
      </c>
      <c r="C15" s="1">
        <f t="shared" si="1"/>
        <v>2</v>
      </c>
      <c r="D15" s="2" t="s">
        <v>16</v>
      </c>
      <c r="E15" s="6">
        <f t="shared" si="2"/>
        <v>1</v>
      </c>
      <c r="F15" s="6" t="s">
        <v>30</v>
      </c>
      <c r="G15" s="6" t="s">
        <v>18</v>
      </c>
      <c r="H15" s="6" t="s">
        <v>37</v>
      </c>
      <c r="I15" s="6" t="s">
        <v>47</v>
      </c>
      <c r="J15" s="6" t="s">
        <v>30</v>
      </c>
      <c r="K15" s="3" t="b">
        <f t="shared" si="3"/>
        <v>0</v>
      </c>
      <c r="L15" s="3">
        <v>532.0</v>
      </c>
      <c r="N15" s="7">
        <v>31980.0</v>
      </c>
      <c r="O15" s="7">
        <f t="shared" si="7"/>
        <v>17013.36</v>
      </c>
    </row>
    <row r="16">
      <c r="A16" s="6">
        <v>2025.0</v>
      </c>
      <c r="B16" s="6" t="s">
        <v>15</v>
      </c>
      <c r="C16" s="1">
        <f t="shared" si="1"/>
        <v>2</v>
      </c>
      <c r="D16" s="2" t="s">
        <v>16</v>
      </c>
      <c r="E16" s="6">
        <f t="shared" si="2"/>
        <v>1</v>
      </c>
      <c r="F16" s="6" t="s">
        <v>30</v>
      </c>
      <c r="G16" s="6" t="s">
        <v>18</v>
      </c>
      <c r="H16" s="6" t="s">
        <v>37</v>
      </c>
      <c r="I16" s="6" t="s">
        <v>48</v>
      </c>
      <c r="J16" s="6" t="s">
        <v>30</v>
      </c>
      <c r="K16" s="3" t="b">
        <f t="shared" si="3"/>
        <v>0</v>
      </c>
      <c r="L16" s="3">
        <v>500.0</v>
      </c>
      <c r="N16" s="7">
        <v>18580.0</v>
      </c>
      <c r="O16" s="7">
        <f t="shared" si="7"/>
        <v>9290</v>
      </c>
    </row>
    <row r="17">
      <c r="A17" s="6">
        <v>2025.0</v>
      </c>
      <c r="B17" s="6" t="s">
        <v>15</v>
      </c>
      <c r="C17" s="1">
        <f t="shared" si="1"/>
        <v>2</v>
      </c>
      <c r="D17" s="2" t="s">
        <v>16</v>
      </c>
      <c r="E17" s="6">
        <f t="shared" si="2"/>
        <v>1</v>
      </c>
      <c r="F17" s="6" t="s">
        <v>30</v>
      </c>
      <c r="G17" s="6" t="s">
        <v>18</v>
      </c>
      <c r="H17" s="6" t="s">
        <v>49</v>
      </c>
      <c r="I17" s="6" t="s">
        <v>50</v>
      </c>
      <c r="J17" s="6" t="s">
        <v>30</v>
      </c>
      <c r="K17" s="3" t="b">
        <f t="shared" si="3"/>
        <v>0</v>
      </c>
      <c r="L17" s="3">
        <v>3440.0</v>
      </c>
      <c r="N17" s="7">
        <v>2300.0</v>
      </c>
      <c r="O17" s="7">
        <f t="shared" si="7"/>
        <v>7912</v>
      </c>
    </row>
    <row r="18">
      <c r="A18" s="6">
        <v>2025.0</v>
      </c>
      <c r="B18" s="6" t="s">
        <v>15</v>
      </c>
      <c r="C18" s="1">
        <f t="shared" si="1"/>
        <v>2</v>
      </c>
      <c r="D18" s="2" t="s">
        <v>16</v>
      </c>
      <c r="E18" s="6">
        <f t="shared" si="2"/>
        <v>1</v>
      </c>
      <c r="F18" s="6" t="s">
        <v>30</v>
      </c>
      <c r="G18" s="6" t="s">
        <v>18</v>
      </c>
      <c r="H18" s="6" t="s">
        <v>49</v>
      </c>
      <c r="I18" s="6" t="s">
        <v>51</v>
      </c>
      <c r="J18" s="6" t="s">
        <v>30</v>
      </c>
      <c r="K18" s="3" t="b">
        <f t="shared" si="3"/>
        <v>0</v>
      </c>
      <c r="L18" s="3">
        <v>382.0</v>
      </c>
      <c r="N18" s="7">
        <v>6400.0</v>
      </c>
      <c r="O18" s="7">
        <f t="shared" si="7"/>
        <v>2444.8</v>
      </c>
    </row>
    <row r="19">
      <c r="A19" s="6">
        <v>2025.0</v>
      </c>
      <c r="B19" s="6" t="s">
        <v>15</v>
      </c>
      <c r="C19" s="1">
        <f t="shared" si="1"/>
        <v>2</v>
      </c>
      <c r="D19" s="2" t="s">
        <v>16</v>
      </c>
      <c r="E19" s="6">
        <f t="shared" si="2"/>
        <v>1</v>
      </c>
      <c r="F19" s="6" t="s">
        <v>30</v>
      </c>
      <c r="G19" s="6" t="s">
        <v>18</v>
      </c>
      <c r="H19" s="6" t="s">
        <v>52</v>
      </c>
      <c r="I19" s="6" t="s">
        <v>53</v>
      </c>
      <c r="J19" s="6" t="s">
        <v>39</v>
      </c>
      <c r="K19" s="3" t="b">
        <f t="shared" si="3"/>
        <v>0</v>
      </c>
      <c r="L19" s="3">
        <v>500.0</v>
      </c>
      <c r="M19" s="6">
        <v>1.0</v>
      </c>
      <c r="N19" s="7">
        <v>3550.0</v>
      </c>
      <c r="O19" s="7">
        <f t="shared" ref="O19:O21" si="8">N19*M19</f>
        <v>3550</v>
      </c>
    </row>
    <row r="20">
      <c r="A20" s="6">
        <v>2025.0</v>
      </c>
      <c r="B20" s="6" t="s">
        <v>15</v>
      </c>
      <c r="C20" s="1">
        <f t="shared" si="1"/>
        <v>2</v>
      </c>
      <c r="D20" s="2" t="s">
        <v>16</v>
      </c>
      <c r="E20" s="6">
        <f t="shared" si="2"/>
        <v>1</v>
      </c>
      <c r="F20" s="6" t="s">
        <v>30</v>
      </c>
      <c r="G20" s="6" t="s">
        <v>18</v>
      </c>
      <c r="H20" s="6" t="s">
        <v>52</v>
      </c>
      <c r="I20" s="6" t="s">
        <v>54</v>
      </c>
      <c r="J20" s="6" t="s">
        <v>39</v>
      </c>
      <c r="K20" s="3" t="b">
        <f t="shared" si="3"/>
        <v>0</v>
      </c>
      <c r="L20" s="3">
        <v>500.0</v>
      </c>
      <c r="M20" s="6">
        <v>1.0</v>
      </c>
      <c r="N20" s="7">
        <v>3990.0</v>
      </c>
      <c r="O20" s="7">
        <f t="shared" si="8"/>
        <v>3990</v>
      </c>
    </row>
    <row r="21">
      <c r="A21" s="6">
        <v>2025.0</v>
      </c>
      <c r="B21" s="6" t="s">
        <v>15</v>
      </c>
      <c r="C21" s="1">
        <f t="shared" si="1"/>
        <v>2</v>
      </c>
      <c r="D21" s="2" t="s">
        <v>16</v>
      </c>
      <c r="E21" s="6">
        <f t="shared" si="2"/>
        <v>1</v>
      </c>
      <c r="F21" s="6" t="s">
        <v>30</v>
      </c>
      <c r="G21" s="6" t="s">
        <v>18</v>
      </c>
      <c r="H21" s="6" t="s">
        <v>52</v>
      </c>
      <c r="I21" s="6" t="s">
        <v>55</v>
      </c>
      <c r="J21" s="6" t="s">
        <v>39</v>
      </c>
      <c r="K21" s="3" t="b">
        <f t="shared" si="3"/>
        <v>0</v>
      </c>
      <c r="L21" s="3">
        <v>500.0</v>
      </c>
      <c r="M21" s="6">
        <v>1.0</v>
      </c>
      <c r="N21" s="7">
        <v>3590.0</v>
      </c>
      <c r="O21" s="7">
        <f t="shared" si="8"/>
        <v>3590</v>
      </c>
    </row>
    <row r="22">
      <c r="A22" s="6">
        <v>2025.0</v>
      </c>
      <c r="B22" s="6" t="s">
        <v>15</v>
      </c>
      <c r="C22" s="1">
        <f t="shared" si="1"/>
        <v>2</v>
      </c>
      <c r="D22" s="2" t="s">
        <v>16</v>
      </c>
      <c r="E22" s="6">
        <f t="shared" si="2"/>
        <v>1</v>
      </c>
      <c r="F22" s="6" t="s">
        <v>30</v>
      </c>
      <c r="G22" s="6" t="s">
        <v>18</v>
      </c>
      <c r="H22" s="6" t="s">
        <v>33</v>
      </c>
      <c r="I22" s="6" t="s">
        <v>56</v>
      </c>
      <c r="J22" s="6" t="s">
        <v>30</v>
      </c>
      <c r="K22" s="3" t="b">
        <f t="shared" si="3"/>
        <v>0</v>
      </c>
      <c r="L22" s="3">
        <v>874.0</v>
      </c>
      <c r="N22" s="7">
        <v>3700.0</v>
      </c>
      <c r="O22" s="7">
        <f t="shared" ref="O22:O30" si="9">N22*L22/1000</f>
        <v>3233.8</v>
      </c>
    </row>
    <row r="23">
      <c r="A23" s="6">
        <v>2025.0</v>
      </c>
      <c r="B23" s="6" t="s">
        <v>15</v>
      </c>
      <c r="C23" s="1">
        <f t="shared" si="1"/>
        <v>2</v>
      </c>
      <c r="D23" s="2" t="s">
        <v>16</v>
      </c>
      <c r="E23" s="6">
        <f t="shared" si="2"/>
        <v>1</v>
      </c>
      <c r="F23" s="6" t="s">
        <v>30</v>
      </c>
      <c r="G23" s="6" t="s">
        <v>18</v>
      </c>
      <c r="H23" s="6" t="s">
        <v>49</v>
      </c>
      <c r="I23" s="6" t="s">
        <v>57</v>
      </c>
      <c r="J23" s="6" t="s">
        <v>30</v>
      </c>
      <c r="K23" s="3" t="b">
        <f t="shared" si="3"/>
        <v>0</v>
      </c>
      <c r="L23" s="3">
        <v>1836.0</v>
      </c>
      <c r="N23" s="7">
        <v>2500.0</v>
      </c>
      <c r="O23" s="7">
        <f t="shared" si="9"/>
        <v>4590</v>
      </c>
    </row>
    <row r="24">
      <c r="A24" s="6">
        <v>2025.0</v>
      </c>
      <c r="B24" s="6" t="s">
        <v>15</v>
      </c>
      <c r="C24" s="1">
        <f t="shared" si="1"/>
        <v>2</v>
      </c>
      <c r="D24" s="2" t="s">
        <v>16</v>
      </c>
      <c r="E24" s="6">
        <f t="shared" si="2"/>
        <v>1</v>
      </c>
      <c r="F24" s="6" t="s">
        <v>30</v>
      </c>
      <c r="G24" s="6" t="s">
        <v>18</v>
      </c>
      <c r="H24" s="6" t="s">
        <v>49</v>
      </c>
      <c r="I24" s="6" t="s">
        <v>58</v>
      </c>
      <c r="J24" s="6" t="s">
        <v>30</v>
      </c>
      <c r="K24" s="3" t="b">
        <f t="shared" si="3"/>
        <v>0</v>
      </c>
      <c r="L24" s="3">
        <v>1208.0</v>
      </c>
      <c r="N24" s="7">
        <v>6300.0</v>
      </c>
      <c r="O24" s="7">
        <f t="shared" si="9"/>
        <v>7610.4</v>
      </c>
    </row>
    <row r="25">
      <c r="A25" s="6">
        <v>2025.0</v>
      </c>
      <c r="B25" s="6" t="s">
        <v>15</v>
      </c>
      <c r="C25" s="1">
        <f t="shared" si="1"/>
        <v>2</v>
      </c>
      <c r="D25" s="2" t="s">
        <v>16</v>
      </c>
      <c r="E25" s="6">
        <f t="shared" si="2"/>
        <v>1</v>
      </c>
      <c r="F25" s="6" t="s">
        <v>30</v>
      </c>
      <c r="G25" s="6" t="s">
        <v>18</v>
      </c>
      <c r="H25" s="6" t="s">
        <v>33</v>
      </c>
      <c r="I25" s="6" t="s">
        <v>59</v>
      </c>
      <c r="J25" s="6" t="s">
        <v>30</v>
      </c>
      <c r="K25" s="3" t="b">
        <f t="shared" si="3"/>
        <v>0</v>
      </c>
      <c r="L25" s="3">
        <v>1092.0</v>
      </c>
      <c r="N25" s="7">
        <v>2300.0</v>
      </c>
      <c r="O25" s="7">
        <f t="shared" si="9"/>
        <v>2511.6</v>
      </c>
    </row>
    <row r="26">
      <c r="A26" s="6">
        <v>2025.0</v>
      </c>
      <c r="B26" s="6" t="s">
        <v>15</v>
      </c>
      <c r="C26" s="1">
        <f t="shared" si="1"/>
        <v>2</v>
      </c>
      <c r="D26" s="2" t="s">
        <v>16</v>
      </c>
      <c r="E26" s="6">
        <f t="shared" si="2"/>
        <v>1</v>
      </c>
      <c r="F26" s="6" t="s">
        <v>30</v>
      </c>
      <c r="G26" s="6" t="s">
        <v>18</v>
      </c>
      <c r="H26" s="6" t="s">
        <v>37</v>
      </c>
      <c r="I26" s="6" t="s">
        <v>60</v>
      </c>
      <c r="J26" s="6" t="s">
        <v>30</v>
      </c>
      <c r="K26" s="3" t="b">
        <f t="shared" si="3"/>
        <v>0</v>
      </c>
      <c r="L26" s="3">
        <v>3380.0</v>
      </c>
      <c r="N26" s="7">
        <v>10980.0</v>
      </c>
      <c r="O26" s="7">
        <f t="shared" si="9"/>
        <v>37112.4</v>
      </c>
    </row>
    <row r="27">
      <c r="A27" s="6">
        <v>2025.0</v>
      </c>
      <c r="B27" s="6" t="s">
        <v>15</v>
      </c>
      <c r="C27" s="1">
        <f t="shared" si="1"/>
        <v>2</v>
      </c>
      <c r="D27" s="2" t="s">
        <v>16</v>
      </c>
      <c r="E27" s="6">
        <f t="shared" si="2"/>
        <v>1</v>
      </c>
      <c r="F27" s="6" t="s">
        <v>30</v>
      </c>
      <c r="G27" s="6" t="s">
        <v>18</v>
      </c>
      <c r="H27" s="6" t="s">
        <v>49</v>
      </c>
      <c r="I27" s="6" t="s">
        <v>61</v>
      </c>
      <c r="J27" s="6" t="s">
        <v>30</v>
      </c>
      <c r="K27" s="3" t="b">
        <f t="shared" si="3"/>
        <v>0</v>
      </c>
      <c r="L27" s="3">
        <v>556.0</v>
      </c>
      <c r="N27" s="7">
        <v>2500.0</v>
      </c>
      <c r="O27" s="7">
        <f t="shared" si="9"/>
        <v>1390</v>
      </c>
    </row>
    <row r="28">
      <c r="A28" s="6">
        <v>2025.0</v>
      </c>
      <c r="B28" s="6" t="s">
        <v>15</v>
      </c>
      <c r="C28" s="1">
        <f t="shared" si="1"/>
        <v>2</v>
      </c>
      <c r="D28" s="2" t="s">
        <v>16</v>
      </c>
      <c r="E28" s="6">
        <f t="shared" si="2"/>
        <v>1</v>
      </c>
      <c r="F28" s="6" t="s">
        <v>30</v>
      </c>
      <c r="G28" s="6" t="s">
        <v>18</v>
      </c>
      <c r="H28" s="6" t="s">
        <v>49</v>
      </c>
      <c r="I28" s="6" t="s">
        <v>62</v>
      </c>
      <c r="J28" s="6" t="s">
        <v>30</v>
      </c>
      <c r="K28" s="3" t="b">
        <f t="shared" si="3"/>
        <v>0</v>
      </c>
      <c r="L28" s="3">
        <v>3332.0</v>
      </c>
      <c r="N28" s="7">
        <v>5180.0</v>
      </c>
      <c r="O28" s="7">
        <f t="shared" si="9"/>
        <v>17259.76</v>
      </c>
    </row>
    <row r="29">
      <c r="A29" s="6">
        <v>2025.0</v>
      </c>
      <c r="B29" s="6" t="s">
        <v>15</v>
      </c>
      <c r="C29" s="1">
        <f t="shared" si="1"/>
        <v>2</v>
      </c>
      <c r="D29" s="2" t="s">
        <v>16</v>
      </c>
      <c r="E29" s="6">
        <f t="shared" si="2"/>
        <v>1</v>
      </c>
      <c r="F29" s="6" t="s">
        <v>30</v>
      </c>
      <c r="G29" s="6" t="s">
        <v>18</v>
      </c>
      <c r="H29" s="6" t="s">
        <v>49</v>
      </c>
      <c r="I29" s="6" t="s">
        <v>63</v>
      </c>
      <c r="J29" s="6" t="s">
        <v>30</v>
      </c>
      <c r="K29" s="3" t="b">
        <f t="shared" si="3"/>
        <v>0</v>
      </c>
      <c r="L29" s="3">
        <v>1950.0</v>
      </c>
      <c r="N29" s="7">
        <v>1980.0</v>
      </c>
      <c r="O29" s="7">
        <f t="shared" si="9"/>
        <v>3861</v>
      </c>
    </row>
    <row r="30">
      <c r="A30" s="6">
        <v>2025.0</v>
      </c>
      <c r="B30" s="6" t="s">
        <v>15</v>
      </c>
      <c r="C30" s="1">
        <f t="shared" si="1"/>
        <v>2</v>
      </c>
      <c r="D30" s="2" t="s">
        <v>16</v>
      </c>
      <c r="E30" s="6">
        <f t="shared" si="2"/>
        <v>1</v>
      </c>
      <c r="F30" s="6" t="s">
        <v>30</v>
      </c>
      <c r="G30" s="6" t="s">
        <v>18</v>
      </c>
      <c r="H30" s="6" t="s">
        <v>49</v>
      </c>
      <c r="I30" s="6" t="s">
        <v>64</v>
      </c>
      <c r="J30" s="6" t="s">
        <v>30</v>
      </c>
      <c r="K30" s="3" t="b">
        <f t="shared" si="3"/>
        <v>0</v>
      </c>
      <c r="L30" s="3">
        <v>694.0</v>
      </c>
      <c r="N30" s="7">
        <v>2100.0</v>
      </c>
      <c r="O30" s="7">
        <f t="shared" si="9"/>
        <v>1457.4</v>
      </c>
    </row>
    <row r="31">
      <c r="A31" s="6">
        <v>2025.0</v>
      </c>
      <c r="B31" s="6" t="s">
        <v>15</v>
      </c>
      <c r="C31" s="1">
        <f t="shared" si="1"/>
        <v>2</v>
      </c>
      <c r="D31" s="2" t="s">
        <v>65</v>
      </c>
      <c r="E31" s="6">
        <f t="shared" si="2"/>
        <v>2</v>
      </c>
      <c r="F31" s="6" t="s">
        <v>30</v>
      </c>
      <c r="G31" s="6" t="s">
        <v>18</v>
      </c>
      <c r="H31" s="6" t="s">
        <v>19</v>
      </c>
      <c r="I31" s="6" t="s">
        <v>22</v>
      </c>
      <c r="J31" s="6" t="s">
        <v>66</v>
      </c>
      <c r="K31" s="3" t="b">
        <f t="shared" si="3"/>
        <v>0</v>
      </c>
      <c r="L31" s="3">
        <v>900.0</v>
      </c>
      <c r="M31" s="6">
        <v>4.0</v>
      </c>
      <c r="N31" s="7">
        <v>3390.0</v>
      </c>
      <c r="O31" s="7">
        <f>N31*M31</f>
        <v>13560</v>
      </c>
    </row>
    <row r="32">
      <c r="A32" s="6">
        <v>2025.0</v>
      </c>
      <c r="B32" s="6" t="s">
        <v>15</v>
      </c>
      <c r="C32" s="1">
        <f t="shared" si="1"/>
        <v>2</v>
      </c>
      <c r="D32" s="2" t="s">
        <v>65</v>
      </c>
      <c r="E32" s="6">
        <f t="shared" si="2"/>
        <v>2</v>
      </c>
      <c r="F32" s="6" t="s">
        <v>30</v>
      </c>
      <c r="G32" s="6" t="s">
        <v>18</v>
      </c>
      <c r="H32" s="6" t="s">
        <v>37</v>
      </c>
      <c r="I32" s="6" t="s">
        <v>47</v>
      </c>
      <c r="J32" s="6" t="s">
        <v>30</v>
      </c>
      <c r="K32" s="3" t="b">
        <f t="shared" si="3"/>
        <v>0</v>
      </c>
      <c r="L32" s="3">
        <v>1042.0</v>
      </c>
      <c r="N32" s="7">
        <v>31980.0</v>
      </c>
      <c r="O32" s="7">
        <f t="shared" ref="O32:O45" si="10">N32*L32/1000</f>
        <v>33323.16</v>
      </c>
    </row>
    <row r="33">
      <c r="A33" s="6">
        <v>2025.0</v>
      </c>
      <c r="B33" s="6" t="s">
        <v>15</v>
      </c>
      <c r="C33" s="1">
        <f t="shared" si="1"/>
        <v>2</v>
      </c>
      <c r="D33" s="2" t="s">
        <v>65</v>
      </c>
      <c r="E33" s="6">
        <f t="shared" si="2"/>
        <v>2</v>
      </c>
      <c r="F33" s="6" t="s">
        <v>30</v>
      </c>
      <c r="G33" s="6" t="s">
        <v>18</v>
      </c>
      <c r="H33" s="6" t="s">
        <v>37</v>
      </c>
      <c r="I33" s="6" t="s">
        <v>46</v>
      </c>
      <c r="J33" s="6" t="s">
        <v>30</v>
      </c>
      <c r="K33" s="3" t="b">
        <f t="shared" si="3"/>
        <v>0</v>
      </c>
      <c r="L33" s="3">
        <v>1130.0</v>
      </c>
      <c r="N33" s="7">
        <v>28580.0</v>
      </c>
      <c r="O33" s="7">
        <f t="shared" si="10"/>
        <v>32295.4</v>
      </c>
    </row>
    <row r="34">
      <c r="A34" s="6">
        <v>2025.0</v>
      </c>
      <c r="B34" s="6" t="s">
        <v>15</v>
      </c>
      <c r="C34" s="1">
        <f t="shared" si="1"/>
        <v>2</v>
      </c>
      <c r="D34" s="2" t="s">
        <v>65</v>
      </c>
      <c r="E34" s="6">
        <f t="shared" si="2"/>
        <v>2</v>
      </c>
      <c r="F34" s="6" t="s">
        <v>30</v>
      </c>
      <c r="G34" s="6" t="s">
        <v>18</v>
      </c>
      <c r="H34" s="6" t="s">
        <v>37</v>
      </c>
      <c r="I34" s="6" t="s">
        <v>67</v>
      </c>
      <c r="J34" s="6" t="s">
        <v>30</v>
      </c>
      <c r="K34" s="3" t="b">
        <f t="shared" si="3"/>
        <v>0</v>
      </c>
      <c r="L34" s="3">
        <v>1050.0</v>
      </c>
      <c r="M34" s="6">
        <v>1.0</v>
      </c>
      <c r="N34" s="7">
        <v>19400.0</v>
      </c>
      <c r="O34" s="7">
        <f t="shared" si="10"/>
        <v>20370</v>
      </c>
    </row>
    <row r="35">
      <c r="A35" s="6">
        <v>2025.0</v>
      </c>
      <c r="B35" s="6" t="s">
        <v>15</v>
      </c>
      <c r="C35" s="1">
        <f t="shared" si="1"/>
        <v>2</v>
      </c>
      <c r="D35" s="2" t="s">
        <v>65</v>
      </c>
      <c r="E35" s="6">
        <f t="shared" si="2"/>
        <v>2</v>
      </c>
      <c r="F35" s="6" t="s">
        <v>30</v>
      </c>
      <c r="G35" s="6" t="s">
        <v>18</v>
      </c>
      <c r="H35" s="6" t="s">
        <v>37</v>
      </c>
      <c r="I35" s="6" t="s">
        <v>68</v>
      </c>
      <c r="J35" s="6" t="s">
        <v>30</v>
      </c>
      <c r="K35" s="3" t="b">
        <f t="shared" si="3"/>
        <v>0</v>
      </c>
      <c r="L35" s="3">
        <v>1086.0</v>
      </c>
      <c r="N35" s="7">
        <v>25980.0</v>
      </c>
      <c r="O35" s="7">
        <f t="shared" si="10"/>
        <v>28214.28</v>
      </c>
    </row>
    <row r="36">
      <c r="A36" s="6">
        <v>2025.0</v>
      </c>
      <c r="B36" s="6" t="s">
        <v>15</v>
      </c>
      <c r="C36" s="1">
        <f t="shared" si="1"/>
        <v>2</v>
      </c>
      <c r="D36" s="2" t="s">
        <v>65</v>
      </c>
      <c r="E36" s="6">
        <f t="shared" si="2"/>
        <v>2</v>
      </c>
      <c r="F36" s="6" t="s">
        <v>30</v>
      </c>
      <c r="G36" s="6" t="s">
        <v>18</v>
      </c>
      <c r="H36" s="6" t="s">
        <v>37</v>
      </c>
      <c r="I36" s="6" t="s">
        <v>45</v>
      </c>
      <c r="J36" s="6" t="s">
        <v>30</v>
      </c>
      <c r="K36" s="3" t="b">
        <f t="shared" si="3"/>
        <v>0</v>
      </c>
      <c r="L36" s="3">
        <v>778.0</v>
      </c>
      <c r="N36" s="7">
        <v>19000.0</v>
      </c>
      <c r="O36" s="7">
        <f t="shared" si="10"/>
        <v>14782</v>
      </c>
    </row>
    <row r="37">
      <c r="A37" s="6">
        <v>2025.0</v>
      </c>
      <c r="B37" s="6" t="s">
        <v>15</v>
      </c>
      <c r="C37" s="1">
        <f t="shared" si="1"/>
        <v>2</v>
      </c>
      <c r="D37" s="2" t="s">
        <v>65</v>
      </c>
      <c r="E37" s="6">
        <f t="shared" si="2"/>
        <v>2</v>
      </c>
      <c r="F37" s="6" t="s">
        <v>30</v>
      </c>
      <c r="G37" s="6" t="s">
        <v>18</v>
      </c>
      <c r="H37" s="6" t="s">
        <v>37</v>
      </c>
      <c r="I37" s="6" t="s">
        <v>60</v>
      </c>
      <c r="J37" s="6" t="s">
        <v>30</v>
      </c>
      <c r="K37" s="3" t="b">
        <f t="shared" si="3"/>
        <v>0</v>
      </c>
      <c r="L37" s="3">
        <v>2865.0</v>
      </c>
      <c r="N37" s="7">
        <v>10980.0</v>
      </c>
      <c r="O37" s="7">
        <f t="shared" si="10"/>
        <v>31457.7</v>
      </c>
    </row>
    <row r="38">
      <c r="A38" s="6">
        <v>2025.0</v>
      </c>
      <c r="B38" s="6" t="s">
        <v>15</v>
      </c>
      <c r="C38" s="1">
        <f t="shared" si="1"/>
        <v>2</v>
      </c>
      <c r="D38" s="2" t="s">
        <v>65</v>
      </c>
      <c r="E38" s="6">
        <f t="shared" si="2"/>
        <v>2</v>
      </c>
      <c r="F38" s="6" t="s">
        <v>30</v>
      </c>
      <c r="G38" s="6" t="s">
        <v>18</v>
      </c>
      <c r="H38" s="6" t="s">
        <v>37</v>
      </c>
      <c r="I38" s="6" t="s">
        <v>69</v>
      </c>
      <c r="J38" s="6" t="s">
        <v>30</v>
      </c>
      <c r="K38" s="3" t="b">
        <f t="shared" si="3"/>
        <v>0</v>
      </c>
      <c r="L38" s="3">
        <v>1175.0</v>
      </c>
      <c r="N38" s="7">
        <v>14980.0</v>
      </c>
      <c r="O38" s="7">
        <f t="shared" si="10"/>
        <v>17601.5</v>
      </c>
    </row>
    <row r="39">
      <c r="A39" s="6">
        <v>2025.0</v>
      </c>
      <c r="B39" s="6" t="s">
        <v>15</v>
      </c>
      <c r="C39" s="1">
        <f t="shared" si="1"/>
        <v>2</v>
      </c>
      <c r="D39" s="2" t="s">
        <v>65</v>
      </c>
      <c r="E39" s="6">
        <f t="shared" si="2"/>
        <v>2</v>
      </c>
      <c r="F39" s="6" t="s">
        <v>30</v>
      </c>
      <c r="G39" s="6" t="s">
        <v>18</v>
      </c>
      <c r="H39" s="6" t="s">
        <v>33</v>
      </c>
      <c r="I39" s="6" t="s">
        <v>70</v>
      </c>
      <c r="J39" s="6" t="s">
        <v>30</v>
      </c>
      <c r="K39" s="3" t="b">
        <f t="shared" si="3"/>
        <v>0</v>
      </c>
      <c r="L39" s="3">
        <v>2350.0</v>
      </c>
      <c r="N39" s="7">
        <v>3100.0</v>
      </c>
      <c r="O39" s="7">
        <f t="shared" si="10"/>
        <v>7285</v>
      </c>
    </row>
    <row r="40">
      <c r="A40" s="6">
        <v>2025.0</v>
      </c>
      <c r="B40" s="6" t="s">
        <v>15</v>
      </c>
      <c r="C40" s="1">
        <f t="shared" si="1"/>
        <v>2</v>
      </c>
      <c r="D40" s="2" t="s">
        <v>65</v>
      </c>
      <c r="E40" s="6">
        <f t="shared" si="2"/>
        <v>2</v>
      </c>
      <c r="F40" s="6" t="s">
        <v>30</v>
      </c>
      <c r="G40" s="6" t="s">
        <v>18</v>
      </c>
      <c r="H40" s="6" t="s">
        <v>33</v>
      </c>
      <c r="I40" s="6" t="s">
        <v>59</v>
      </c>
      <c r="J40" s="6" t="s">
        <v>30</v>
      </c>
      <c r="K40" s="3" t="b">
        <f t="shared" si="3"/>
        <v>0</v>
      </c>
      <c r="L40" s="3">
        <v>1450.0</v>
      </c>
      <c r="N40" s="7">
        <v>1980.0</v>
      </c>
      <c r="O40" s="7">
        <f t="shared" si="10"/>
        <v>2871</v>
      </c>
    </row>
    <row r="41">
      <c r="A41" s="6">
        <v>2025.0</v>
      </c>
      <c r="B41" s="6" t="s">
        <v>15</v>
      </c>
      <c r="C41" s="1">
        <f t="shared" si="1"/>
        <v>2</v>
      </c>
      <c r="D41" s="2" t="s">
        <v>65</v>
      </c>
      <c r="E41" s="6">
        <f t="shared" si="2"/>
        <v>2</v>
      </c>
      <c r="F41" s="6" t="s">
        <v>30</v>
      </c>
      <c r="G41" s="6" t="s">
        <v>18</v>
      </c>
      <c r="H41" s="6" t="s">
        <v>33</v>
      </c>
      <c r="I41" s="6" t="s">
        <v>34</v>
      </c>
      <c r="J41" s="6" t="s">
        <v>30</v>
      </c>
      <c r="K41" s="3" t="b">
        <f t="shared" si="3"/>
        <v>0</v>
      </c>
      <c r="L41" s="3">
        <v>1530.0</v>
      </c>
      <c r="N41" s="7">
        <v>7980.0</v>
      </c>
      <c r="O41" s="7">
        <f t="shared" si="10"/>
        <v>12209.4</v>
      </c>
    </row>
    <row r="42">
      <c r="A42" s="6">
        <v>2025.0</v>
      </c>
      <c r="B42" s="6" t="s">
        <v>15</v>
      </c>
      <c r="C42" s="1">
        <f t="shared" si="1"/>
        <v>2</v>
      </c>
      <c r="D42" s="2" t="s">
        <v>65</v>
      </c>
      <c r="E42" s="6">
        <f t="shared" si="2"/>
        <v>2</v>
      </c>
      <c r="F42" s="6" t="s">
        <v>30</v>
      </c>
      <c r="G42" s="6" t="s">
        <v>18</v>
      </c>
      <c r="H42" s="6" t="s">
        <v>49</v>
      </c>
      <c r="I42" s="6" t="s">
        <v>62</v>
      </c>
      <c r="J42" s="6" t="s">
        <v>30</v>
      </c>
      <c r="K42" s="3" t="b">
        <f t="shared" si="3"/>
        <v>0</v>
      </c>
      <c r="L42" s="3">
        <f>2420+790</f>
        <v>3210</v>
      </c>
      <c r="M42" s="6">
        <v>1.0</v>
      </c>
      <c r="N42" s="7">
        <v>5780.0</v>
      </c>
      <c r="O42" s="7">
        <f t="shared" si="10"/>
        <v>18553.8</v>
      </c>
    </row>
    <row r="43">
      <c r="A43" s="6">
        <v>2025.0</v>
      </c>
      <c r="B43" s="6" t="s">
        <v>15</v>
      </c>
      <c r="C43" s="1">
        <f t="shared" si="1"/>
        <v>2</v>
      </c>
      <c r="D43" s="2" t="s">
        <v>65</v>
      </c>
      <c r="E43" s="6">
        <f t="shared" si="2"/>
        <v>2</v>
      </c>
      <c r="F43" s="6" t="s">
        <v>30</v>
      </c>
      <c r="G43" s="6" t="s">
        <v>18</v>
      </c>
      <c r="H43" s="6" t="s">
        <v>49</v>
      </c>
      <c r="I43" s="6" t="s">
        <v>61</v>
      </c>
      <c r="J43" s="6" t="s">
        <v>30</v>
      </c>
      <c r="K43" s="3" t="b">
        <f t="shared" si="3"/>
        <v>0</v>
      </c>
      <c r="L43" s="3">
        <v>620.0</v>
      </c>
      <c r="M43" s="6">
        <v>1.0</v>
      </c>
      <c r="N43" s="7">
        <v>2300.0</v>
      </c>
      <c r="O43" s="7">
        <f t="shared" si="10"/>
        <v>1426</v>
      </c>
    </row>
    <row r="44">
      <c r="A44" s="6">
        <v>2025.0</v>
      </c>
      <c r="B44" s="6" t="s">
        <v>15</v>
      </c>
      <c r="C44" s="1">
        <f t="shared" si="1"/>
        <v>2</v>
      </c>
      <c r="D44" s="2" t="s">
        <v>65</v>
      </c>
      <c r="E44" s="6">
        <f t="shared" si="2"/>
        <v>2</v>
      </c>
      <c r="F44" s="6" t="s">
        <v>30</v>
      </c>
      <c r="G44" s="6" t="s">
        <v>18</v>
      </c>
      <c r="H44" s="6" t="s">
        <v>49</v>
      </c>
      <c r="I44" s="6" t="s">
        <v>71</v>
      </c>
      <c r="J44" s="6" t="s">
        <v>30</v>
      </c>
      <c r="K44" s="3" t="b">
        <f t="shared" si="3"/>
        <v>0</v>
      </c>
      <c r="L44" s="3">
        <v>830.0</v>
      </c>
      <c r="M44" s="6">
        <v>1.0</v>
      </c>
      <c r="N44" s="7">
        <v>4400.0</v>
      </c>
      <c r="O44" s="7">
        <f t="shared" si="10"/>
        <v>3652</v>
      </c>
    </row>
    <row r="45">
      <c r="A45" s="6">
        <v>2025.0</v>
      </c>
      <c r="B45" s="6" t="s">
        <v>15</v>
      </c>
      <c r="C45" s="1">
        <f t="shared" si="1"/>
        <v>2</v>
      </c>
      <c r="D45" s="2" t="s">
        <v>65</v>
      </c>
      <c r="E45" s="6">
        <f t="shared" si="2"/>
        <v>2</v>
      </c>
      <c r="F45" s="6" t="s">
        <v>30</v>
      </c>
      <c r="G45" s="6" t="s">
        <v>18</v>
      </c>
      <c r="H45" s="6" t="s">
        <v>49</v>
      </c>
      <c r="I45" s="6" t="s">
        <v>72</v>
      </c>
      <c r="J45" s="6" t="s">
        <v>30</v>
      </c>
      <c r="K45" s="3" t="b">
        <f t="shared" si="3"/>
        <v>0</v>
      </c>
      <c r="L45" s="3">
        <v>810.0</v>
      </c>
      <c r="N45" s="7">
        <v>7900.0</v>
      </c>
      <c r="O45" s="7">
        <f t="shared" si="10"/>
        <v>6399</v>
      </c>
    </row>
    <row r="46">
      <c r="A46" s="6">
        <v>2025.0</v>
      </c>
      <c r="B46" s="6" t="s">
        <v>15</v>
      </c>
      <c r="C46" s="1">
        <f t="shared" si="1"/>
        <v>2</v>
      </c>
      <c r="D46" s="2" t="s">
        <v>65</v>
      </c>
      <c r="E46" s="6">
        <f t="shared" si="2"/>
        <v>2</v>
      </c>
      <c r="F46" s="6" t="s">
        <v>30</v>
      </c>
      <c r="G46" s="6" t="s">
        <v>18</v>
      </c>
      <c r="H46" s="6" t="s">
        <v>49</v>
      </c>
      <c r="I46" s="6" t="s">
        <v>73</v>
      </c>
      <c r="J46" s="6" t="s">
        <v>30</v>
      </c>
      <c r="K46" s="3" t="b">
        <f t="shared" si="3"/>
        <v>0</v>
      </c>
      <c r="L46" s="8"/>
      <c r="M46" s="6">
        <v>2.0</v>
      </c>
      <c r="N46" s="7">
        <v>1990.0</v>
      </c>
      <c r="O46" s="7">
        <f>N46*M46</f>
        <v>3980</v>
      </c>
    </row>
    <row r="47">
      <c r="A47" s="6">
        <v>2025.0</v>
      </c>
      <c r="B47" s="6" t="s">
        <v>15</v>
      </c>
      <c r="C47" s="1">
        <f t="shared" si="1"/>
        <v>2</v>
      </c>
      <c r="D47" s="2" t="s">
        <v>65</v>
      </c>
      <c r="E47" s="6">
        <f t="shared" si="2"/>
        <v>2</v>
      </c>
      <c r="F47" s="6" t="s">
        <v>30</v>
      </c>
      <c r="G47" s="6" t="s">
        <v>18</v>
      </c>
      <c r="H47" s="6" t="s">
        <v>49</v>
      </c>
      <c r="I47" s="6" t="s">
        <v>58</v>
      </c>
      <c r="J47" s="6" t="s">
        <v>30</v>
      </c>
      <c r="K47" s="3" t="b">
        <f t="shared" si="3"/>
        <v>0</v>
      </c>
      <c r="L47" s="3">
        <f>580+190</f>
        <v>770</v>
      </c>
      <c r="N47" s="7">
        <v>5500.0</v>
      </c>
      <c r="O47" s="7">
        <f t="shared" ref="O47:O51" si="11">N47*L47/1000</f>
        <v>4235</v>
      </c>
    </row>
    <row r="48">
      <c r="A48" s="6">
        <v>2025.0</v>
      </c>
      <c r="B48" s="6" t="s">
        <v>15</v>
      </c>
      <c r="C48" s="1">
        <f t="shared" si="1"/>
        <v>2</v>
      </c>
      <c r="D48" s="2" t="s">
        <v>65</v>
      </c>
      <c r="E48" s="6">
        <f t="shared" si="2"/>
        <v>2</v>
      </c>
      <c r="F48" s="6" t="s">
        <v>30</v>
      </c>
      <c r="G48" s="6" t="s">
        <v>18</v>
      </c>
      <c r="H48" s="6" t="s">
        <v>49</v>
      </c>
      <c r="I48" s="6" t="s">
        <v>50</v>
      </c>
      <c r="J48" s="6" t="s">
        <v>30</v>
      </c>
      <c r="K48" s="3" t="b">
        <f t="shared" si="3"/>
        <v>0</v>
      </c>
      <c r="L48" s="3">
        <f>2090+1060</f>
        <v>3150</v>
      </c>
      <c r="N48" s="7">
        <v>2100.0</v>
      </c>
      <c r="O48" s="7">
        <f t="shared" si="11"/>
        <v>6615</v>
      </c>
    </row>
    <row r="49">
      <c r="A49" s="6">
        <v>2025.0</v>
      </c>
      <c r="B49" s="6" t="s">
        <v>15</v>
      </c>
      <c r="C49" s="1">
        <f t="shared" si="1"/>
        <v>2</v>
      </c>
      <c r="D49" s="2" t="s">
        <v>65</v>
      </c>
      <c r="E49" s="6">
        <f t="shared" si="2"/>
        <v>2</v>
      </c>
      <c r="F49" s="6" t="s">
        <v>30</v>
      </c>
      <c r="G49" s="6" t="s">
        <v>18</v>
      </c>
      <c r="H49" s="6" t="s">
        <v>49</v>
      </c>
      <c r="I49" s="6" t="s">
        <v>63</v>
      </c>
      <c r="J49" s="6" t="s">
        <v>30</v>
      </c>
      <c r="K49" s="3" t="b">
        <f t="shared" si="3"/>
        <v>0</v>
      </c>
      <c r="L49" s="3">
        <v>1630.0</v>
      </c>
      <c r="N49" s="7">
        <v>1980.0</v>
      </c>
      <c r="O49" s="7">
        <f t="shared" si="11"/>
        <v>3227.4</v>
      </c>
    </row>
    <row r="50">
      <c r="A50" s="6">
        <v>2025.0</v>
      </c>
      <c r="B50" s="6" t="s">
        <v>15</v>
      </c>
      <c r="C50" s="1">
        <f t="shared" si="1"/>
        <v>2</v>
      </c>
      <c r="D50" s="2" t="s">
        <v>65</v>
      </c>
      <c r="E50" s="6">
        <f t="shared" si="2"/>
        <v>2</v>
      </c>
      <c r="F50" s="6" t="s">
        <v>30</v>
      </c>
      <c r="G50" s="6" t="s">
        <v>18</v>
      </c>
      <c r="H50" s="6" t="s">
        <v>49</v>
      </c>
      <c r="I50" s="6" t="s">
        <v>57</v>
      </c>
      <c r="J50" s="6" t="s">
        <v>30</v>
      </c>
      <c r="K50" s="3" t="b">
        <f t="shared" si="3"/>
        <v>0</v>
      </c>
      <c r="L50" s="3">
        <f>870+970</f>
        <v>1840</v>
      </c>
      <c r="N50" s="7">
        <v>2900.0</v>
      </c>
      <c r="O50" s="7">
        <f t="shared" si="11"/>
        <v>5336</v>
      </c>
    </row>
    <row r="51">
      <c r="A51" s="6">
        <v>2025.0</v>
      </c>
      <c r="B51" s="6" t="s">
        <v>15</v>
      </c>
      <c r="C51" s="1">
        <f t="shared" si="1"/>
        <v>2</v>
      </c>
      <c r="D51" s="2" t="s">
        <v>65</v>
      </c>
      <c r="E51" s="6">
        <f t="shared" si="2"/>
        <v>2</v>
      </c>
      <c r="F51" s="6" t="s">
        <v>30</v>
      </c>
      <c r="G51" s="6" t="s">
        <v>18</v>
      </c>
      <c r="H51" s="6" t="s">
        <v>49</v>
      </c>
      <c r="I51" s="6" t="s">
        <v>74</v>
      </c>
      <c r="J51" s="6" t="s">
        <v>30</v>
      </c>
      <c r="K51" s="3" t="b">
        <f t="shared" si="3"/>
        <v>0</v>
      </c>
      <c r="L51" s="3">
        <v>2320.0</v>
      </c>
      <c r="N51" s="7">
        <v>1980.0</v>
      </c>
      <c r="O51" s="7">
        <f t="shared" si="11"/>
        <v>4593.6</v>
      </c>
    </row>
    <row r="52">
      <c r="A52" s="6">
        <v>2025.0</v>
      </c>
      <c r="B52" s="6" t="s">
        <v>15</v>
      </c>
      <c r="C52" s="1">
        <f t="shared" si="1"/>
        <v>2</v>
      </c>
      <c r="D52" s="2" t="s">
        <v>65</v>
      </c>
      <c r="E52" s="6">
        <f t="shared" si="2"/>
        <v>2</v>
      </c>
      <c r="F52" s="6" t="s">
        <v>30</v>
      </c>
      <c r="G52" s="6" t="s">
        <v>18</v>
      </c>
      <c r="H52" s="6" t="s">
        <v>52</v>
      </c>
      <c r="I52" s="6" t="s">
        <v>53</v>
      </c>
      <c r="J52" s="6" t="s">
        <v>39</v>
      </c>
      <c r="K52" s="3" t="b">
        <f t="shared" si="3"/>
        <v>0</v>
      </c>
      <c r="L52" s="3">
        <v>500.0</v>
      </c>
      <c r="M52" s="6">
        <v>1.0</v>
      </c>
      <c r="N52" s="7">
        <v>3550.0</v>
      </c>
      <c r="O52" s="7">
        <f t="shared" ref="O52:O77" si="12">N52*M52</f>
        <v>3550</v>
      </c>
    </row>
    <row r="53">
      <c r="A53" s="6">
        <v>2025.0</v>
      </c>
      <c r="B53" s="6" t="s">
        <v>15</v>
      </c>
      <c r="C53" s="1">
        <f t="shared" si="1"/>
        <v>2</v>
      </c>
      <c r="D53" s="2" t="s">
        <v>65</v>
      </c>
      <c r="E53" s="6">
        <f t="shared" si="2"/>
        <v>2</v>
      </c>
      <c r="F53" s="6" t="s">
        <v>30</v>
      </c>
      <c r="G53" s="6" t="s">
        <v>18</v>
      </c>
      <c r="H53" s="6" t="s">
        <v>52</v>
      </c>
      <c r="I53" s="6" t="s">
        <v>54</v>
      </c>
      <c r="J53" s="6" t="s">
        <v>39</v>
      </c>
      <c r="K53" s="3" t="b">
        <f t="shared" si="3"/>
        <v>0</v>
      </c>
      <c r="L53" s="3">
        <v>500.0</v>
      </c>
      <c r="M53" s="6">
        <v>1.0</v>
      </c>
      <c r="N53" s="7">
        <v>3990.0</v>
      </c>
      <c r="O53" s="7">
        <f t="shared" si="12"/>
        <v>3990</v>
      </c>
    </row>
    <row r="54">
      <c r="A54" s="6">
        <v>2025.0</v>
      </c>
      <c r="B54" s="6" t="s">
        <v>15</v>
      </c>
      <c r="C54" s="1">
        <f t="shared" si="1"/>
        <v>2</v>
      </c>
      <c r="D54" s="2" t="s">
        <v>65</v>
      </c>
      <c r="E54" s="6">
        <f t="shared" si="2"/>
        <v>2</v>
      </c>
      <c r="F54" s="6" t="s">
        <v>30</v>
      </c>
      <c r="G54" s="6" t="s">
        <v>18</v>
      </c>
      <c r="H54" s="6" t="s">
        <v>24</v>
      </c>
      <c r="I54" s="6" t="s">
        <v>42</v>
      </c>
      <c r="J54" s="6" t="s">
        <v>43</v>
      </c>
      <c r="K54" s="3" t="b">
        <f t="shared" si="3"/>
        <v>0</v>
      </c>
      <c r="L54" s="3">
        <v>400.0</v>
      </c>
      <c r="M54" s="6">
        <v>1.0</v>
      </c>
      <c r="N54" s="7">
        <v>10990.0</v>
      </c>
      <c r="O54" s="7">
        <f t="shared" si="12"/>
        <v>10990</v>
      </c>
    </row>
    <row r="55">
      <c r="A55" s="6">
        <v>2025.0</v>
      </c>
      <c r="B55" s="6" t="s">
        <v>15</v>
      </c>
      <c r="C55" s="1">
        <f t="shared" si="1"/>
        <v>2</v>
      </c>
      <c r="D55" s="2" t="s">
        <v>65</v>
      </c>
      <c r="E55" s="6">
        <f t="shared" si="2"/>
        <v>2</v>
      </c>
      <c r="F55" s="6" t="s">
        <v>30</v>
      </c>
      <c r="G55" s="6" t="s">
        <v>18</v>
      </c>
      <c r="H55" s="6" t="s">
        <v>52</v>
      </c>
      <c r="I55" s="6" t="s">
        <v>75</v>
      </c>
      <c r="J55" s="6" t="s">
        <v>39</v>
      </c>
      <c r="K55" s="3" t="b">
        <f t="shared" si="3"/>
        <v>0</v>
      </c>
      <c r="L55" s="3">
        <v>500.0</v>
      </c>
      <c r="M55" s="6">
        <v>1.0</v>
      </c>
      <c r="N55" s="7">
        <v>1990.0</v>
      </c>
      <c r="O55" s="7">
        <f t="shared" si="12"/>
        <v>1990</v>
      </c>
    </row>
    <row r="56">
      <c r="A56" s="6">
        <v>2025.0</v>
      </c>
      <c r="B56" s="6" t="s">
        <v>15</v>
      </c>
      <c r="C56" s="1">
        <f t="shared" si="1"/>
        <v>2</v>
      </c>
      <c r="D56" s="2" t="s">
        <v>65</v>
      </c>
      <c r="E56" s="6">
        <f t="shared" si="2"/>
        <v>2</v>
      </c>
      <c r="F56" s="6" t="s">
        <v>30</v>
      </c>
      <c r="G56" s="6" t="s">
        <v>18</v>
      </c>
      <c r="H56" s="6" t="s">
        <v>31</v>
      </c>
      <c r="I56" s="6" t="s">
        <v>32</v>
      </c>
      <c r="J56" s="6" t="s">
        <v>30</v>
      </c>
      <c r="K56" s="3" t="b">
        <f t="shared" si="3"/>
        <v>0</v>
      </c>
      <c r="L56" s="3">
        <v>900.0</v>
      </c>
      <c r="M56" s="6">
        <v>1.0</v>
      </c>
      <c r="N56" s="7">
        <v>7200.0</v>
      </c>
      <c r="O56" s="7">
        <f t="shared" si="12"/>
        <v>7200</v>
      </c>
    </row>
    <row r="57">
      <c r="A57" s="6">
        <v>2025.0</v>
      </c>
      <c r="B57" s="6" t="s">
        <v>15</v>
      </c>
      <c r="C57" s="1">
        <f t="shared" si="1"/>
        <v>2</v>
      </c>
      <c r="D57" s="2" t="s">
        <v>65</v>
      </c>
      <c r="E57" s="6">
        <f t="shared" si="2"/>
        <v>2</v>
      </c>
      <c r="F57" s="6" t="s">
        <v>30</v>
      </c>
      <c r="G57" s="6" t="s">
        <v>18</v>
      </c>
      <c r="H57" s="6" t="s">
        <v>76</v>
      </c>
      <c r="I57" s="6" t="s">
        <v>77</v>
      </c>
      <c r="J57" s="6" t="s">
        <v>78</v>
      </c>
      <c r="K57" s="3" t="b">
        <f t="shared" si="3"/>
        <v>0</v>
      </c>
      <c r="L57" s="3">
        <v>650.0</v>
      </c>
      <c r="M57" s="6">
        <v>1.0</v>
      </c>
      <c r="N57" s="7">
        <v>8850.0</v>
      </c>
      <c r="O57" s="7">
        <f t="shared" si="12"/>
        <v>8850</v>
      </c>
    </row>
    <row r="58">
      <c r="A58" s="6">
        <v>2025.0</v>
      </c>
      <c r="B58" s="6" t="s">
        <v>15</v>
      </c>
      <c r="C58" s="1">
        <f t="shared" si="1"/>
        <v>2</v>
      </c>
      <c r="D58" s="2" t="s">
        <v>65</v>
      </c>
      <c r="E58" s="6">
        <f t="shared" si="2"/>
        <v>2</v>
      </c>
      <c r="F58" s="6" t="s">
        <v>30</v>
      </c>
      <c r="G58" s="6" t="s">
        <v>79</v>
      </c>
      <c r="H58" s="6" t="s">
        <v>80</v>
      </c>
      <c r="I58" s="6" t="s">
        <v>81</v>
      </c>
      <c r="K58" s="3" t="b">
        <f t="shared" si="3"/>
        <v>0</v>
      </c>
      <c r="L58" s="8"/>
      <c r="M58" s="6">
        <v>1.0</v>
      </c>
      <c r="N58" s="7">
        <v>11950.0</v>
      </c>
      <c r="O58" s="7">
        <f t="shared" si="12"/>
        <v>11950</v>
      </c>
    </row>
    <row r="59">
      <c r="A59" s="6">
        <v>2025.0</v>
      </c>
      <c r="B59" s="6" t="s">
        <v>15</v>
      </c>
      <c r="C59" s="1">
        <f t="shared" si="1"/>
        <v>2</v>
      </c>
      <c r="D59" s="2" t="s">
        <v>65</v>
      </c>
      <c r="E59" s="6">
        <f t="shared" si="2"/>
        <v>2</v>
      </c>
      <c r="F59" s="6" t="s">
        <v>30</v>
      </c>
      <c r="G59" s="6" t="s">
        <v>18</v>
      </c>
      <c r="H59" s="6" t="s">
        <v>37</v>
      </c>
      <c r="I59" s="6" t="s">
        <v>38</v>
      </c>
      <c r="J59" s="6" t="s">
        <v>39</v>
      </c>
      <c r="K59" s="3" t="b">
        <f t="shared" si="3"/>
        <v>0</v>
      </c>
      <c r="L59" s="3">
        <v>160.0</v>
      </c>
      <c r="M59" s="6">
        <v>1.0</v>
      </c>
      <c r="N59" s="7">
        <v>4990.0</v>
      </c>
      <c r="O59" s="7">
        <f t="shared" si="12"/>
        <v>4990</v>
      </c>
    </row>
    <row r="60">
      <c r="A60" s="6">
        <v>2025.0</v>
      </c>
      <c r="B60" s="6" t="s">
        <v>82</v>
      </c>
      <c r="C60" s="1">
        <f t="shared" si="1"/>
        <v>3</v>
      </c>
      <c r="D60" s="2" t="s">
        <v>16</v>
      </c>
      <c r="E60" s="6">
        <f t="shared" si="2"/>
        <v>1</v>
      </c>
      <c r="F60" s="6" t="s">
        <v>17</v>
      </c>
      <c r="G60" s="6" t="s">
        <v>83</v>
      </c>
      <c r="H60" s="6" t="s">
        <v>80</v>
      </c>
      <c r="I60" s="6" t="s">
        <v>84</v>
      </c>
      <c r="K60" s="3" t="b">
        <f t="shared" si="3"/>
        <v>0</v>
      </c>
      <c r="L60" s="8"/>
      <c r="M60" s="6">
        <v>1.0</v>
      </c>
      <c r="N60" s="9">
        <v>2200.0</v>
      </c>
      <c r="O60" s="7">
        <f t="shared" si="12"/>
        <v>2200</v>
      </c>
    </row>
    <row r="61">
      <c r="A61" s="6">
        <v>2025.0</v>
      </c>
      <c r="B61" s="6" t="s">
        <v>82</v>
      </c>
      <c r="C61" s="1">
        <f t="shared" si="1"/>
        <v>3</v>
      </c>
      <c r="D61" s="2" t="s">
        <v>16</v>
      </c>
      <c r="E61" s="6">
        <f t="shared" si="2"/>
        <v>1</v>
      </c>
      <c r="F61" s="6" t="s">
        <v>17</v>
      </c>
      <c r="G61" s="6" t="s">
        <v>18</v>
      </c>
      <c r="H61" s="6" t="s">
        <v>85</v>
      </c>
      <c r="I61" s="6" t="s">
        <v>86</v>
      </c>
      <c r="K61" s="3" t="b">
        <f t="shared" si="3"/>
        <v>0</v>
      </c>
      <c r="L61" s="8"/>
      <c r="M61" s="6">
        <v>1.0</v>
      </c>
      <c r="N61" s="9">
        <v>1250.0</v>
      </c>
      <c r="O61" s="7">
        <f t="shared" si="12"/>
        <v>1250</v>
      </c>
    </row>
    <row r="62">
      <c r="A62" s="6">
        <v>2025.0</v>
      </c>
      <c r="B62" s="6" t="s">
        <v>82</v>
      </c>
      <c r="C62" s="1">
        <f t="shared" si="1"/>
        <v>3</v>
      </c>
      <c r="D62" s="2" t="s">
        <v>16</v>
      </c>
      <c r="E62" s="6">
        <f t="shared" si="2"/>
        <v>1</v>
      </c>
      <c r="F62" s="6" t="s">
        <v>17</v>
      </c>
      <c r="G62" s="6" t="s">
        <v>18</v>
      </c>
      <c r="H62" s="6" t="s">
        <v>37</v>
      </c>
      <c r="I62" s="6" t="s">
        <v>87</v>
      </c>
      <c r="K62" s="3" t="b">
        <f t="shared" si="3"/>
        <v>1</v>
      </c>
      <c r="L62" s="8"/>
      <c r="M62" s="6">
        <v>1.0</v>
      </c>
      <c r="N62" s="10">
        <v>4900.0</v>
      </c>
      <c r="O62" s="7">
        <f t="shared" si="12"/>
        <v>4900</v>
      </c>
    </row>
    <row r="63">
      <c r="A63" s="6">
        <v>2025.0</v>
      </c>
      <c r="B63" s="6" t="s">
        <v>82</v>
      </c>
      <c r="C63" s="1">
        <f t="shared" si="1"/>
        <v>3</v>
      </c>
      <c r="D63" s="2" t="s">
        <v>16</v>
      </c>
      <c r="E63" s="6">
        <f t="shared" si="2"/>
        <v>1</v>
      </c>
      <c r="F63" s="6" t="s">
        <v>17</v>
      </c>
      <c r="G63" s="6" t="s">
        <v>18</v>
      </c>
      <c r="H63" s="6" t="s">
        <v>37</v>
      </c>
      <c r="I63" s="6" t="s">
        <v>87</v>
      </c>
      <c r="K63" s="3" t="b">
        <f t="shared" si="3"/>
        <v>1</v>
      </c>
      <c r="L63" s="8"/>
      <c r="M63" s="6">
        <v>1.0</v>
      </c>
      <c r="N63" s="9">
        <v>6990.0</v>
      </c>
      <c r="O63" s="7">
        <f t="shared" si="12"/>
        <v>6990</v>
      </c>
    </row>
    <row r="64">
      <c r="A64" s="6">
        <v>2025.0</v>
      </c>
      <c r="B64" s="6" t="s">
        <v>82</v>
      </c>
      <c r="C64" s="1">
        <f t="shared" si="1"/>
        <v>3</v>
      </c>
      <c r="D64" s="2" t="s">
        <v>16</v>
      </c>
      <c r="E64" s="6">
        <f t="shared" si="2"/>
        <v>1</v>
      </c>
      <c r="F64" s="6" t="s">
        <v>17</v>
      </c>
      <c r="G64" s="6" t="s">
        <v>18</v>
      </c>
      <c r="H64" s="6" t="s">
        <v>85</v>
      </c>
      <c r="I64" s="6" t="s">
        <v>88</v>
      </c>
      <c r="K64" s="3" t="b">
        <f t="shared" si="3"/>
        <v>0</v>
      </c>
      <c r="L64" s="8"/>
      <c r="M64" s="6">
        <v>1.0</v>
      </c>
      <c r="N64" s="9">
        <v>1250.0</v>
      </c>
      <c r="O64" s="7">
        <f t="shared" si="12"/>
        <v>1250</v>
      </c>
    </row>
    <row r="65">
      <c r="A65" s="6">
        <v>2025.0</v>
      </c>
      <c r="B65" s="6" t="s">
        <v>82</v>
      </c>
      <c r="C65" s="1">
        <f t="shared" si="1"/>
        <v>3</v>
      </c>
      <c r="D65" s="2" t="s">
        <v>16</v>
      </c>
      <c r="E65" s="6">
        <f t="shared" si="2"/>
        <v>1</v>
      </c>
      <c r="F65" s="6" t="s">
        <v>17</v>
      </c>
      <c r="G65" s="6" t="s">
        <v>83</v>
      </c>
      <c r="H65" s="6" t="s">
        <v>89</v>
      </c>
      <c r="I65" s="6" t="s">
        <v>90</v>
      </c>
      <c r="K65" s="3" t="b">
        <f t="shared" si="3"/>
        <v>0</v>
      </c>
      <c r="L65" s="8"/>
      <c r="M65" s="6">
        <v>1.0</v>
      </c>
      <c r="N65" s="9">
        <v>2450.0</v>
      </c>
      <c r="O65" s="7">
        <f t="shared" si="12"/>
        <v>2450</v>
      </c>
    </row>
    <row r="66">
      <c r="A66" s="6">
        <v>2025.0</v>
      </c>
      <c r="B66" s="6" t="s">
        <v>82</v>
      </c>
      <c r="C66" s="1">
        <f t="shared" si="1"/>
        <v>3</v>
      </c>
      <c r="D66" s="2" t="s">
        <v>16</v>
      </c>
      <c r="E66" s="6">
        <f t="shared" si="2"/>
        <v>1</v>
      </c>
      <c r="F66" s="6" t="s">
        <v>17</v>
      </c>
      <c r="G66" s="6" t="s">
        <v>83</v>
      </c>
      <c r="H66" s="6" t="s">
        <v>89</v>
      </c>
      <c r="I66" s="6" t="s">
        <v>91</v>
      </c>
      <c r="K66" s="3" t="b">
        <f t="shared" si="3"/>
        <v>0</v>
      </c>
      <c r="L66" s="8"/>
      <c r="M66" s="6">
        <v>1.0</v>
      </c>
      <c r="N66" s="9">
        <v>4570.0</v>
      </c>
      <c r="O66" s="7">
        <f t="shared" si="12"/>
        <v>4570</v>
      </c>
    </row>
    <row r="67">
      <c r="A67" s="6">
        <v>2025.0</v>
      </c>
      <c r="B67" s="6" t="s">
        <v>82</v>
      </c>
      <c r="C67" s="1">
        <f t="shared" si="1"/>
        <v>3</v>
      </c>
      <c r="D67" s="2" t="s">
        <v>16</v>
      </c>
      <c r="E67" s="6">
        <f t="shared" si="2"/>
        <v>1</v>
      </c>
      <c r="F67" s="6" t="s">
        <v>17</v>
      </c>
      <c r="G67" s="6" t="s">
        <v>18</v>
      </c>
      <c r="H67" s="6" t="s">
        <v>92</v>
      </c>
      <c r="I67" s="6" t="s">
        <v>93</v>
      </c>
      <c r="K67" s="3" t="b">
        <f t="shared" si="3"/>
        <v>0</v>
      </c>
      <c r="L67" s="8"/>
      <c r="M67" s="6">
        <v>3.0</v>
      </c>
      <c r="N67" s="7">
        <v>1990.0</v>
      </c>
      <c r="O67" s="7">
        <f t="shared" si="12"/>
        <v>5970</v>
      </c>
    </row>
    <row r="68">
      <c r="A68" s="6">
        <v>2025.0</v>
      </c>
      <c r="B68" s="6" t="s">
        <v>82</v>
      </c>
      <c r="C68" s="1">
        <f t="shared" si="1"/>
        <v>3</v>
      </c>
      <c r="D68" s="2" t="s">
        <v>16</v>
      </c>
      <c r="E68" s="6">
        <f t="shared" si="2"/>
        <v>1</v>
      </c>
      <c r="F68" s="6" t="s">
        <v>17</v>
      </c>
      <c r="G68" s="6" t="s">
        <v>18</v>
      </c>
      <c r="H68" s="6" t="s">
        <v>94</v>
      </c>
      <c r="I68" s="6" t="s">
        <v>95</v>
      </c>
      <c r="K68" s="3" t="b">
        <f t="shared" si="3"/>
        <v>0</v>
      </c>
      <c r="L68" s="8"/>
      <c r="M68" s="6">
        <v>1.0</v>
      </c>
      <c r="N68" s="9">
        <v>6450.0</v>
      </c>
      <c r="O68" s="7">
        <f t="shared" si="12"/>
        <v>6450</v>
      </c>
    </row>
    <row r="69">
      <c r="A69" s="6">
        <v>2025.0</v>
      </c>
      <c r="B69" s="6" t="s">
        <v>82</v>
      </c>
      <c r="C69" s="1">
        <f t="shared" si="1"/>
        <v>3</v>
      </c>
      <c r="D69" s="2" t="s">
        <v>16</v>
      </c>
      <c r="E69" s="6">
        <f t="shared" si="2"/>
        <v>1</v>
      </c>
      <c r="F69" s="6" t="s">
        <v>17</v>
      </c>
      <c r="G69" s="6" t="s">
        <v>79</v>
      </c>
      <c r="H69" s="6" t="s">
        <v>96</v>
      </c>
      <c r="I69" s="6" t="s">
        <v>97</v>
      </c>
      <c r="J69" s="6" t="s">
        <v>97</v>
      </c>
      <c r="K69" s="3" t="b">
        <f t="shared" si="3"/>
        <v>0</v>
      </c>
      <c r="M69" s="6">
        <v>1.0</v>
      </c>
      <c r="N69" s="9">
        <v>5350.0</v>
      </c>
      <c r="O69" s="7">
        <f t="shared" si="12"/>
        <v>5350</v>
      </c>
    </row>
    <row r="70">
      <c r="A70" s="6">
        <v>2025.0</v>
      </c>
      <c r="B70" s="6" t="s">
        <v>82</v>
      </c>
      <c r="C70" s="1">
        <f t="shared" si="1"/>
        <v>3</v>
      </c>
      <c r="D70" s="2" t="s">
        <v>16</v>
      </c>
      <c r="E70" s="6">
        <f t="shared" si="2"/>
        <v>1</v>
      </c>
      <c r="F70" s="6" t="s">
        <v>17</v>
      </c>
      <c r="G70" s="6" t="s">
        <v>18</v>
      </c>
      <c r="H70" s="6" t="s">
        <v>37</v>
      </c>
      <c r="I70" s="6" t="s">
        <v>98</v>
      </c>
      <c r="K70" s="3" t="b">
        <f t="shared" si="3"/>
        <v>0</v>
      </c>
      <c r="L70" s="8"/>
      <c r="M70" s="6">
        <v>1.0</v>
      </c>
      <c r="N70" s="9">
        <v>8700.0</v>
      </c>
      <c r="O70" s="7">
        <f t="shared" si="12"/>
        <v>8700</v>
      </c>
    </row>
    <row r="71">
      <c r="A71" s="6">
        <v>2025.0</v>
      </c>
      <c r="B71" s="6" t="s">
        <v>82</v>
      </c>
      <c r="C71" s="1">
        <f t="shared" si="1"/>
        <v>3</v>
      </c>
      <c r="D71" s="2" t="s">
        <v>16</v>
      </c>
      <c r="E71" s="6">
        <f t="shared" si="2"/>
        <v>1</v>
      </c>
      <c r="F71" s="6" t="s">
        <v>17</v>
      </c>
      <c r="G71" s="6" t="s">
        <v>83</v>
      </c>
      <c r="H71" s="6" t="s">
        <v>89</v>
      </c>
      <c r="I71" s="6" t="s">
        <v>99</v>
      </c>
      <c r="K71" s="3" t="b">
        <f t="shared" si="3"/>
        <v>0</v>
      </c>
      <c r="L71" s="3">
        <v>500.0</v>
      </c>
      <c r="M71" s="6">
        <v>1.0</v>
      </c>
      <c r="N71" s="9">
        <v>2600.0</v>
      </c>
      <c r="O71" s="7">
        <f t="shared" si="12"/>
        <v>2600</v>
      </c>
    </row>
    <row r="72">
      <c r="A72" s="6">
        <v>2025.0</v>
      </c>
      <c r="B72" s="6" t="s">
        <v>82</v>
      </c>
      <c r="C72" s="1">
        <f t="shared" si="1"/>
        <v>3</v>
      </c>
      <c r="D72" s="2" t="s">
        <v>16</v>
      </c>
      <c r="E72" s="6">
        <f t="shared" si="2"/>
        <v>1</v>
      </c>
      <c r="F72" s="6" t="s">
        <v>17</v>
      </c>
      <c r="G72" s="6" t="s">
        <v>18</v>
      </c>
      <c r="H72" s="6" t="s">
        <v>27</v>
      </c>
      <c r="I72" s="6" t="s">
        <v>100</v>
      </c>
      <c r="K72" s="3" t="b">
        <f t="shared" si="3"/>
        <v>0</v>
      </c>
      <c r="L72" s="8"/>
      <c r="M72" s="6">
        <v>1.0</v>
      </c>
      <c r="N72" s="9">
        <v>3790.0</v>
      </c>
      <c r="O72" s="7">
        <f t="shared" si="12"/>
        <v>3790</v>
      </c>
    </row>
    <row r="73">
      <c r="A73" s="6">
        <v>2025.0</v>
      </c>
      <c r="B73" s="6" t="s">
        <v>82</v>
      </c>
      <c r="C73" s="1">
        <f t="shared" si="1"/>
        <v>3</v>
      </c>
      <c r="D73" s="2" t="s">
        <v>16</v>
      </c>
      <c r="E73" s="6">
        <f t="shared" si="2"/>
        <v>1</v>
      </c>
      <c r="F73" s="6" t="s">
        <v>17</v>
      </c>
      <c r="G73" s="6" t="s">
        <v>18</v>
      </c>
      <c r="H73" s="6" t="s">
        <v>27</v>
      </c>
      <c r="I73" s="6" t="s">
        <v>101</v>
      </c>
      <c r="K73" s="3" t="b">
        <f t="shared" si="3"/>
        <v>0</v>
      </c>
      <c r="L73" s="8"/>
      <c r="M73" s="6">
        <v>1.0</v>
      </c>
      <c r="N73" s="9">
        <v>4750.0</v>
      </c>
      <c r="O73" s="7">
        <f t="shared" si="12"/>
        <v>4750</v>
      </c>
    </row>
    <row r="74">
      <c r="A74" s="6">
        <v>2025.0</v>
      </c>
      <c r="B74" s="6" t="s">
        <v>82</v>
      </c>
      <c r="C74" s="1">
        <f t="shared" si="1"/>
        <v>3</v>
      </c>
      <c r="D74" s="2" t="s">
        <v>16</v>
      </c>
      <c r="E74" s="6">
        <f t="shared" si="2"/>
        <v>1</v>
      </c>
      <c r="F74" s="6" t="s">
        <v>17</v>
      </c>
      <c r="G74" s="6" t="s">
        <v>83</v>
      </c>
      <c r="H74" s="6" t="s">
        <v>80</v>
      </c>
      <c r="I74" s="6" t="s">
        <v>102</v>
      </c>
      <c r="K74" s="3" t="b">
        <f t="shared" si="3"/>
        <v>0</v>
      </c>
      <c r="L74" s="8"/>
      <c r="M74" s="6">
        <v>1.0</v>
      </c>
      <c r="N74" s="9">
        <v>1650.0</v>
      </c>
      <c r="O74" s="7">
        <f t="shared" si="12"/>
        <v>1650</v>
      </c>
    </row>
    <row r="75">
      <c r="A75" s="6">
        <v>2025.0</v>
      </c>
      <c r="B75" s="6" t="s">
        <v>82</v>
      </c>
      <c r="C75" s="1">
        <f t="shared" si="1"/>
        <v>3</v>
      </c>
      <c r="D75" s="2" t="s">
        <v>16</v>
      </c>
      <c r="E75" s="6">
        <f t="shared" si="2"/>
        <v>1</v>
      </c>
      <c r="F75" s="6" t="s">
        <v>17</v>
      </c>
      <c r="G75" s="6" t="s">
        <v>18</v>
      </c>
      <c r="H75" s="6" t="s">
        <v>94</v>
      </c>
      <c r="I75" s="6" t="s">
        <v>103</v>
      </c>
      <c r="K75" s="3" t="b">
        <f t="shared" si="3"/>
        <v>0</v>
      </c>
      <c r="L75" s="8"/>
      <c r="M75" s="6">
        <v>3.0</v>
      </c>
      <c r="N75" s="7">
        <v>1950.0</v>
      </c>
      <c r="O75" s="7">
        <f t="shared" si="12"/>
        <v>5850</v>
      </c>
    </row>
    <row r="76">
      <c r="A76" s="6">
        <v>2025.0</v>
      </c>
      <c r="B76" s="6" t="s">
        <v>82</v>
      </c>
      <c r="C76" s="1">
        <f t="shared" si="1"/>
        <v>3</v>
      </c>
      <c r="D76" s="2" t="s">
        <v>16</v>
      </c>
      <c r="E76" s="6">
        <f t="shared" si="2"/>
        <v>1</v>
      </c>
      <c r="F76" s="6" t="s">
        <v>17</v>
      </c>
      <c r="G76" s="6" t="s">
        <v>18</v>
      </c>
      <c r="H76" s="6" t="s">
        <v>19</v>
      </c>
      <c r="I76" s="6" t="s">
        <v>104</v>
      </c>
      <c r="K76" s="3" t="b">
        <f t="shared" si="3"/>
        <v>0</v>
      </c>
      <c r="L76" s="8"/>
      <c r="M76" s="6">
        <v>3.0</v>
      </c>
      <c r="N76" s="7">
        <v>1450.0</v>
      </c>
      <c r="O76" s="7">
        <f t="shared" si="12"/>
        <v>4350</v>
      </c>
    </row>
    <row r="77">
      <c r="A77" s="6">
        <v>2025.0</v>
      </c>
      <c r="B77" s="6" t="s">
        <v>82</v>
      </c>
      <c r="C77" s="1">
        <f t="shared" si="1"/>
        <v>3</v>
      </c>
      <c r="D77" s="2" t="s">
        <v>16</v>
      </c>
      <c r="E77" s="6">
        <f t="shared" si="2"/>
        <v>1</v>
      </c>
      <c r="F77" s="6" t="s">
        <v>30</v>
      </c>
      <c r="G77" s="6" t="s">
        <v>18</v>
      </c>
      <c r="H77" s="6" t="s">
        <v>31</v>
      </c>
      <c r="I77" s="6" t="s">
        <v>105</v>
      </c>
      <c r="J77" s="6" t="s">
        <v>106</v>
      </c>
      <c r="K77" s="3" t="b">
        <f t="shared" si="3"/>
        <v>0</v>
      </c>
      <c r="L77" s="3">
        <v>1300.0</v>
      </c>
      <c r="M77" s="6">
        <v>1.0</v>
      </c>
      <c r="N77" s="7">
        <v>13950.0</v>
      </c>
      <c r="O77" s="7">
        <f t="shared" si="12"/>
        <v>13950</v>
      </c>
    </row>
    <row r="78">
      <c r="A78" s="6">
        <v>2025.0</v>
      </c>
      <c r="B78" s="6" t="s">
        <v>82</v>
      </c>
      <c r="C78" s="1">
        <f t="shared" si="1"/>
        <v>3</v>
      </c>
      <c r="D78" s="2" t="s">
        <v>16</v>
      </c>
      <c r="E78" s="6">
        <f t="shared" si="2"/>
        <v>1</v>
      </c>
      <c r="F78" s="6" t="s">
        <v>30</v>
      </c>
      <c r="G78" s="6" t="s">
        <v>18</v>
      </c>
      <c r="H78" s="6" t="s">
        <v>33</v>
      </c>
      <c r="I78" s="6" t="s">
        <v>34</v>
      </c>
      <c r="K78" s="3" t="b">
        <f t="shared" si="3"/>
        <v>0</v>
      </c>
      <c r="L78" s="3">
        <v>1702.0</v>
      </c>
      <c r="N78" s="7">
        <v>7980.0</v>
      </c>
      <c r="O78" s="7">
        <f>N78*L78/1000</f>
        <v>13581.96</v>
      </c>
    </row>
    <row r="79">
      <c r="A79" s="6">
        <v>2025.0</v>
      </c>
      <c r="B79" s="6" t="s">
        <v>82</v>
      </c>
      <c r="C79" s="1">
        <f t="shared" si="1"/>
        <v>3</v>
      </c>
      <c r="D79" s="2" t="s">
        <v>16</v>
      </c>
      <c r="E79" s="6">
        <f t="shared" si="2"/>
        <v>1</v>
      </c>
      <c r="F79" s="6" t="s">
        <v>30</v>
      </c>
      <c r="G79" s="6" t="s">
        <v>18</v>
      </c>
      <c r="H79" s="6" t="s">
        <v>37</v>
      </c>
      <c r="I79" s="6" t="s">
        <v>38</v>
      </c>
      <c r="J79" s="6" t="s">
        <v>39</v>
      </c>
      <c r="K79" s="3" t="b">
        <f t="shared" si="3"/>
        <v>0</v>
      </c>
      <c r="L79" s="3">
        <v>160.0</v>
      </c>
      <c r="M79" s="6">
        <v>1.0</v>
      </c>
      <c r="N79" s="7">
        <v>4990.0</v>
      </c>
      <c r="O79" s="7">
        <f t="shared" ref="O79:O80" si="13">N79*M79</f>
        <v>4990</v>
      </c>
    </row>
    <row r="80">
      <c r="A80" s="6">
        <v>2025.0</v>
      </c>
      <c r="B80" s="6" t="s">
        <v>82</v>
      </c>
      <c r="C80" s="1">
        <f t="shared" si="1"/>
        <v>3</v>
      </c>
      <c r="D80" s="2" t="s">
        <v>16</v>
      </c>
      <c r="E80" s="6">
        <f t="shared" si="2"/>
        <v>1</v>
      </c>
      <c r="F80" s="6" t="s">
        <v>30</v>
      </c>
      <c r="G80" s="6" t="s">
        <v>18</v>
      </c>
      <c r="H80" s="6" t="s">
        <v>27</v>
      </c>
      <c r="I80" s="6" t="s">
        <v>40</v>
      </c>
      <c r="J80" s="6" t="s">
        <v>41</v>
      </c>
      <c r="K80" s="3" t="b">
        <f t="shared" si="3"/>
        <v>0</v>
      </c>
      <c r="L80" s="3">
        <v>2500.0</v>
      </c>
      <c r="M80" s="6">
        <v>1.0</v>
      </c>
      <c r="N80" s="7">
        <v>7850.0</v>
      </c>
      <c r="O80" s="7">
        <f t="shared" si="13"/>
        <v>7850</v>
      </c>
    </row>
    <row r="81">
      <c r="A81" s="6">
        <v>2025.0</v>
      </c>
      <c r="B81" s="6" t="s">
        <v>82</v>
      </c>
      <c r="C81" s="1">
        <f t="shared" si="1"/>
        <v>3</v>
      </c>
      <c r="D81" s="2" t="s">
        <v>16</v>
      </c>
      <c r="E81" s="6">
        <f t="shared" si="2"/>
        <v>1</v>
      </c>
      <c r="F81" s="6" t="s">
        <v>30</v>
      </c>
      <c r="G81" s="6" t="s">
        <v>18</v>
      </c>
      <c r="H81" s="6" t="s">
        <v>33</v>
      </c>
      <c r="I81" s="6" t="s">
        <v>70</v>
      </c>
      <c r="K81" s="3" t="b">
        <f t="shared" si="3"/>
        <v>0</v>
      </c>
      <c r="L81" s="3">
        <v>1766.0</v>
      </c>
      <c r="N81" s="7">
        <v>3100.0</v>
      </c>
      <c r="O81" s="7">
        <f t="shared" ref="O81:O82" si="14">N81*L81/1000</f>
        <v>5474.6</v>
      </c>
    </row>
    <row r="82">
      <c r="A82" s="6">
        <v>2025.0</v>
      </c>
      <c r="B82" s="6" t="s">
        <v>82</v>
      </c>
      <c r="C82" s="1">
        <f t="shared" si="1"/>
        <v>3</v>
      </c>
      <c r="D82" s="2" t="s">
        <v>16</v>
      </c>
      <c r="E82" s="6">
        <f t="shared" si="2"/>
        <v>1</v>
      </c>
      <c r="F82" s="6" t="s">
        <v>30</v>
      </c>
      <c r="G82" s="6" t="s">
        <v>18</v>
      </c>
      <c r="H82" s="6" t="s">
        <v>49</v>
      </c>
      <c r="I82" s="6" t="s">
        <v>72</v>
      </c>
      <c r="K82" s="3" t="b">
        <f t="shared" si="3"/>
        <v>0</v>
      </c>
      <c r="L82" s="3">
        <v>874.0</v>
      </c>
      <c r="N82" s="7">
        <v>7900.0</v>
      </c>
      <c r="O82" s="7">
        <f t="shared" si="14"/>
        <v>6904.6</v>
      </c>
    </row>
    <row r="83">
      <c r="A83" s="6">
        <v>2025.0</v>
      </c>
      <c r="B83" s="6" t="s">
        <v>82</v>
      </c>
      <c r="C83" s="1">
        <f t="shared" si="1"/>
        <v>3</v>
      </c>
      <c r="D83" s="2" t="s">
        <v>16</v>
      </c>
      <c r="E83" s="6">
        <f t="shared" si="2"/>
        <v>1</v>
      </c>
      <c r="F83" s="6" t="s">
        <v>30</v>
      </c>
      <c r="G83" s="6" t="s">
        <v>18</v>
      </c>
      <c r="H83" s="6" t="s">
        <v>24</v>
      </c>
      <c r="I83" s="6" t="s">
        <v>42</v>
      </c>
      <c r="K83" s="3" t="b">
        <f t="shared" si="3"/>
        <v>0</v>
      </c>
      <c r="L83" s="3">
        <v>400.0</v>
      </c>
      <c r="M83" s="6">
        <v>1.0</v>
      </c>
      <c r="N83" s="7">
        <v>15990.0</v>
      </c>
      <c r="O83" s="7">
        <f>N83*M83</f>
        <v>15990</v>
      </c>
    </row>
    <row r="84">
      <c r="A84" s="6">
        <v>2025.0</v>
      </c>
      <c r="B84" s="6" t="s">
        <v>82</v>
      </c>
      <c r="C84" s="1">
        <f t="shared" si="1"/>
        <v>3</v>
      </c>
      <c r="D84" s="2" t="s">
        <v>16</v>
      </c>
      <c r="E84" s="6">
        <f t="shared" si="2"/>
        <v>1</v>
      </c>
      <c r="F84" s="6" t="s">
        <v>30</v>
      </c>
      <c r="G84" s="6" t="s">
        <v>18</v>
      </c>
      <c r="H84" s="6" t="s">
        <v>37</v>
      </c>
      <c r="I84" s="6" t="s">
        <v>67</v>
      </c>
      <c r="J84" s="6" t="s">
        <v>30</v>
      </c>
      <c r="K84" s="3" t="b">
        <f t="shared" si="3"/>
        <v>0</v>
      </c>
      <c r="L84" s="3">
        <v>974.0</v>
      </c>
      <c r="N84" s="7">
        <v>27980.0</v>
      </c>
      <c r="O84" s="7">
        <f t="shared" ref="O84:O92" si="15">N84*L84/1000</f>
        <v>27252.52</v>
      </c>
    </row>
    <row r="85">
      <c r="A85" s="6">
        <v>2025.0</v>
      </c>
      <c r="B85" s="6" t="s">
        <v>82</v>
      </c>
      <c r="C85" s="1">
        <f t="shared" si="1"/>
        <v>3</v>
      </c>
      <c r="D85" s="2" t="s">
        <v>16</v>
      </c>
      <c r="E85" s="6">
        <f t="shared" si="2"/>
        <v>1</v>
      </c>
      <c r="F85" s="6" t="s">
        <v>30</v>
      </c>
      <c r="G85" s="6" t="s">
        <v>18</v>
      </c>
      <c r="H85" s="6" t="s">
        <v>37</v>
      </c>
      <c r="I85" s="6" t="s">
        <v>44</v>
      </c>
      <c r="J85" s="6" t="s">
        <v>30</v>
      </c>
      <c r="K85" s="3" t="b">
        <f t="shared" si="3"/>
        <v>0</v>
      </c>
      <c r="L85" s="3">
        <v>1026.0</v>
      </c>
      <c r="N85" s="7">
        <v>10980.0</v>
      </c>
      <c r="O85" s="7">
        <f t="shared" si="15"/>
        <v>11265.48</v>
      </c>
    </row>
    <row r="86">
      <c r="A86" s="6">
        <v>2025.0</v>
      </c>
      <c r="B86" s="6" t="s">
        <v>82</v>
      </c>
      <c r="C86" s="1">
        <f t="shared" si="1"/>
        <v>3</v>
      </c>
      <c r="D86" s="2" t="s">
        <v>16</v>
      </c>
      <c r="E86" s="6">
        <f t="shared" si="2"/>
        <v>1</v>
      </c>
      <c r="F86" s="6" t="s">
        <v>30</v>
      </c>
      <c r="G86" s="6" t="s">
        <v>18</v>
      </c>
      <c r="H86" s="6" t="s">
        <v>37</v>
      </c>
      <c r="I86" s="6" t="s">
        <v>68</v>
      </c>
      <c r="J86" s="6" t="s">
        <v>30</v>
      </c>
      <c r="K86" s="3" t="b">
        <f t="shared" si="3"/>
        <v>0</v>
      </c>
      <c r="L86" s="3">
        <v>976.0</v>
      </c>
      <c r="N86" s="7">
        <v>26380.0</v>
      </c>
      <c r="O86" s="7">
        <f t="shared" si="15"/>
        <v>25746.88</v>
      </c>
    </row>
    <row r="87">
      <c r="A87" s="6">
        <v>2025.0</v>
      </c>
      <c r="B87" s="6" t="s">
        <v>82</v>
      </c>
      <c r="C87" s="1">
        <f t="shared" si="1"/>
        <v>3</v>
      </c>
      <c r="D87" s="2" t="s">
        <v>16</v>
      </c>
      <c r="E87" s="6">
        <f t="shared" si="2"/>
        <v>1</v>
      </c>
      <c r="F87" s="6" t="s">
        <v>30</v>
      </c>
      <c r="G87" s="6" t="s">
        <v>18</v>
      </c>
      <c r="H87" s="6" t="s">
        <v>37</v>
      </c>
      <c r="I87" s="6" t="s">
        <v>45</v>
      </c>
      <c r="J87" s="6" t="s">
        <v>30</v>
      </c>
      <c r="K87" s="3" t="b">
        <f t="shared" si="3"/>
        <v>0</v>
      </c>
      <c r="L87" s="3">
        <v>782.0</v>
      </c>
      <c r="N87" s="7">
        <v>19000.0</v>
      </c>
      <c r="O87" s="7">
        <f t="shared" si="15"/>
        <v>14858</v>
      </c>
    </row>
    <row r="88">
      <c r="A88" s="6">
        <v>2025.0</v>
      </c>
      <c r="B88" s="6" t="s">
        <v>82</v>
      </c>
      <c r="C88" s="1">
        <f t="shared" si="1"/>
        <v>3</v>
      </c>
      <c r="D88" s="2" t="s">
        <v>16</v>
      </c>
      <c r="E88" s="6">
        <f t="shared" si="2"/>
        <v>1</v>
      </c>
      <c r="F88" s="6" t="s">
        <v>30</v>
      </c>
      <c r="G88" s="6" t="s">
        <v>18</v>
      </c>
      <c r="H88" s="6" t="s">
        <v>37</v>
      </c>
      <c r="I88" s="6" t="s">
        <v>46</v>
      </c>
      <c r="J88" s="6" t="s">
        <v>30</v>
      </c>
      <c r="K88" s="3" t="b">
        <f t="shared" si="3"/>
        <v>0</v>
      </c>
      <c r="L88" s="3">
        <v>1088.0</v>
      </c>
      <c r="N88" s="7">
        <v>28980.0</v>
      </c>
      <c r="O88" s="7">
        <f t="shared" si="15"/>
        <v>31530.24</v>
      </c>
    </row>
    <row r="89">
      <c r="A89" s="6">
        <v>2025.0</v>
      </c>
      <c r="B89" s="6" t="s">
        <v>82</v>
      </c>
      <c r="C89" s="1">
        <f t="shared" si="1"/>
        <v>3</v>
      </c>
      <c r="D89" s="2" t="s">
        <v>16</v>
      </c>
      <c r="E89" s="6">
        <f t="shared" si="2"/>
        <v>1</v>
      </c>
      <c r="F89" s="6" t="s">
        <v>30</v>
      </c>
      <c r="G89" s="6" t="s">
        <v>18</v>
      </c>
      <c r="H89" s="6" t="s">
        <v>37</v>
      </c>
      <c r="I89" s="6" t="s">
        <v>47</v>
      </c>
      <c r="J89" s="6" t="s">
        <v>30</v>
      </c>
      <c r="K89" s="3" t="b">
        <f t="shared" si="3"/>
        <v>0</v>
      </c>
      <c r="L89" s="3">
        <v>974.0</v>
      </c>
      <c r="N89" s="7">
        <v>31980.0</v>
      </c>
      <c r="O89" s="7">
        <f t="shared" si="15"/>
        <v>31148.52</v>
      </c>
    </row>
    <row r="90">
      <c r="A90" s="6">
        <v>2025.0</v>
      </c>
      <c r="B90" s="6" t="s">
        <v>82</v>
      </c>
      <c r="C90" s="1">
        <f t="shared" si="1"/>
        <v>3</v>
      </c>
      <c r="D90" s="2" t="s">
        <v>16</v>
      </c>
      <c r="E90" s="6">
        <f t="shared" si="2"/>
        <v>1</v>
      </c>
      <c r="F90" s="6" t="s">
        <v>30</v>
      </c>
      <c r="G90" s="6" t="s">
        <v>18</v>
      </c>
      <c r="H90" s="6" t="s">
        <v>37</v>
      </c>
      <c r="I90" s="6" t="s">
        <v>107</v>
      </c>
      <c r="J90" s="6" t="s">
        <v>30</v>
      </c>
      <c r="K90" s="3" t="b">
        <f t="shared" si="3"/>
        <v>0</v>
      </c>
      <c r="L90" s="3">
        <v>516.0</v>
      </c>
      <c r="N90" s="7">
        <v>25800.0</v>
      </c>
      <c r="O90" s="7">
        <f t="shared" si="15"/>
        <v>13312.8</v>
      </c>
    </row>
    <row r="91">
      <c r="A91" s="6">
        <v>2025.0</v>
      </c>
      <c r="B91" s="6" t="s">
        <v>82</v>
      </c>
      <c r="C91" s="1">
        <f t="shared" si="1"/>
        <v>3</v>
      </c>
      <c r="D91" s="2" t="s">
        <v>16</v>
      </c>
      <c r="E91" s="6">
        <f t="shared" si="2"/>
        <v>1</v>
      </c>
      <c r="F91" s="6" t="s">
        <v>30</v>
      </c>
      <c r="G91" s="6" t="s">
        <v>18</v>
      </c>
      <c r="H91" s="6" t="s">
        <v>49</v>
      </c>
      <c r="I91" s="6" t="s">
        <v>50</v>
      </c>
      <c r="K91" s="3" t="b">
        <f t="shared" si="3"/>
        <v>0</v>
      </c>
      <c r="L91" s="3">
        <v>4300.0</v>
      </c>
      <c r="N91" s="7">
        <v>2300.0</v>
      </c>
      <c r="O91" s="7">
        <f t="shared" si="15"/>
        <v>9890</v>
      </c>
    </row>
    <row r="92">
      <c r="A92" s="6">
        <v>2025.0</v>
      </c>
      <c r="B92" s="6" t="s">
        <v>82</v>
      </c>
      <c r="C92" s="1">
        <f t="shared" si="1"/>
        <v>3</v>
      </c>
      <c r="D92" s="2" t="s">
        <v>16</v>
      </c>
      <c r="E92" s="6">
        <f t="shared" si="2"/>
        <v>1</v>
      </c>
      <c r="F92" s="6" t="s">
        <v>30</v>
      </c>
      <c r="G92" s="6" t="s">
        <v>18</v>
      </c>
      <c r="H92" s="6" t="s">
        <v>49</v>
      </c>
      <c r="I92" s="6" t="s">
        <v>51</v>
      </c>
      <c r="K92" s="3" t="b">
        <f t="shared" si="3"/>
        <v>0</v>
      </c>
      <c r="L92" s="3">
        <v>450.0</v>
      </c>
      <c r="N92" s="7">
        <v>7600.0</v>
      </c>
      <c r="O92" s="7">
        <f t="shared" si="15"/>
        <v>3420</v>
      </c>
    </row>
    <row r="93">
      <c r="A93" s="6">
        <v>2025.0</v>
      </c>
      <c r="B93" s="6" t="s">
        <v>82</v>
      </c>
      <c r="C93" s="1">
        <f t="shared" si="1"/>
        <v>3</v>
      </c>
      <c r="D93" s="2" t="s">
        <v>16</v>
      </c>
      <c r="E93" s="6">
        <f t="shared" si="2"/>
        <v>1</v>
      </c>
      <c r="F93" s="6" t="s">
        <v>30</v>
      </c>
      <c r="G93" s="6" t="s">
        <v>18</v>
      </c>
      <c r="H93" s="6" t="s">
        <v>52</v>
      </c>
      <c r="I93" s="6" t="s">
        <v>54</v>
      </c>
      <c r="J93" s="6" t="s">
        <v>39</v>
      </c>
      <c r="K93" s="3" t="b">
        <f t="shared" si="3"/>
        <v>0</v>
      </c>
      <c r="L93" s="3">
        <v>500.0</v>
      </c>
      <c r="M93" s="6">
        <v>1.0</v>
      </c>
      <c r="N93" s="7">
        <v>3990.0</v>
      </c>
      <c r="O93" s="7">
        <f t="shared" ref="O93:O94" si="16">N93*M93</f>
        <v>3990</v>
      </c>
    </row>
    <row r="94">
      <c r="A94" s="6">
        <v>2025.0</v>
      </c>
      <c r="B94" s="6" t="s">
        <v>82</v>
      </c>
      <c r="C94" s="1">
        <f t="shared" si="1"/>
        <v>3</v>
      </c>
      <c r="D94" s="2" t="s">
        <v>16</v>
      </c>
      <c r="E94" s="6">
        <f t="shared" si="2"/>
        <v>1</v>
      </c>
      <c r="F94" s="6" t="s">
        <v>30</v>
      </c>
      <c r="G94" s="6" t="s">
        <v>18</v>
      </c>
      <c r="H94" s="6" t="s">
        <v>19</v>
      </c>
      <c r="I94" s="6" t="s">
        <v>22</v>
      </c>
      <c r="J94" s="6" t="s">
        <v>66</v>
      </c>
      <c r="K94" s="3" t="b">
        <f t="shared" si="3"/>
        <v>0</v>
      </c>
      <c r="L94" s="3">
        <v>900.0</v>
      </c>
      <c r="M94" s="6">
        <v>5.0</v>
      </c>
      <c r="N94" s="7">
        <v>3390.0</v>
      </c>
      <c r="O94" s="7">
        <f t="shared" si="16"/>
        <v>16950</v>
      </c>
    </row>
    <row r="95">
      <c r="A95" s="6">
        <v>2025.0</v>
      </c>
      <c r="B95" s="6" t="s">
        <v>82</v>
      </c>
      <c r="C95" s="1">
        <f t="shared" si="1"/>
        <v>3</v>
      </c>
      <c r="D95" s="2" t="s">
        <v>16</v>
      </c>
      <c r="E95" s="6">
        <f t="shared" si="2"/>
        <v>1</v>
      </c>
      <c r="F95" s="6" t="s">
        <v>30</v>
      </c>
      <c r="G95" s="6" t="s">
        <v>18</v>
      </c>
      <c r="H95" s="6" t="s">
        <v>49</v>
      </c>
      <c r="I95" s="6" t="s">
        <v>71</v>
      </c>
      <c r="K95" s="3" t="b">
        <f t="shared" si="3"/>
        <v>0</v>
      </c>
      <c r="L95" s="3">
        <v>484.0</v>
      </c>
      <c r="N95" s="7">
        <v>5900.0</v>
      </c>
      <c r="O95" s="7">
        <f>N95*L95/1000</f>
        <v>2855.6</v>
      </c>
    </row>
    <row r="96">
      <c r="A96" s="6">
        <v>2025.0</v>
      </c>
      <c r="B96" s="6" t="s">
        <v>82</v>
      </c>
      <c r="C96" s="1">
        <f t="shared" si="1"/>
        <v>3</v>
      </c>
      <c r="D96" s="2" t="s">
        <v>16</v>
      </c>
      <c r="E96" s="6">
        <f t="shared" si="2"/>
        <v>1</v>
      </c>
      <c r="F96" s="6" t="s">
        <v>30</v>
      </c>
      <c r="G96" s="6" t="s">
        <v>18</v>
      </c>
      <c r="H96" s="6" t="s">
        <v>52</v>
      </c>
      <c r="I96" s="6" t="s">
        <v>55</v>
      </c>
      <c r="J96" s="6" t="s">
        <v>39</v>
      </c>
      <c r="K96" s="3" t="b">
        <f t="shared" si="3"/>
        <v>0</v>
      </c>
      <c r="L96" s="3">
        <v>500.0</v>
      </c>
      <c r="M96" s="6">
        <v>1.0</v>
      </c>
      <c r="N96" s="7">
        <v>3590.0</v>
      </c>
      <c r="O96" s="7">
        <f>N96*M96</f>
        <v>3590</v>
      </c>
    </row>
    <row r="97">
      <c r="A97" s="6">
        <v>2025.0</v>
      </c>
      <c r="B97" s="6" t="s">
        <v>82</v>
      </c>
      <c r="C97" s="1">
        <f t="shared" si="1"/>
        <v>3</v>
      </c>
      <c r="D97" s="2" t="s">
        <v>16</v>
      </c>
      <c r="E97" s="6">
        <f t="shared" si="2"/>
        <v>1</v>
      </c>
      <c r="F97" s="6" t="s">
        <v>30</v>
      </c>
      <c r="G97" s="6" t="s">
        <v>18</v>
      </c>
      <c r="H97" s="6" t="s">
        <v>33</v>
      </c>
      <c r="I97" s="6" t="s">
        <v>108</v>
      </c>
      <c r="K97" s="3" t="b">
        <f t="shared" si="3"/>
        <v>0</v>
      </c>
      <c r="L97" s="3">
        <v>954.0</v>
      </c>
      <c r="N97" s="7">
        <v>1980.0</v>
      </c>
      <c r="O97" s="7">
        <f>N97*L97/1000</f>
        <v>1888.92</v>
      </c>
    </row>
    <row r="98">
      <c r="A98" s="6">
        <v>2025.0</v>
      </c>
      <c r="B98" s="6" t="s">
        <v>82</v>
      </c>
      <c r="C98" s="1">
        <f t="shared" si="1"/>
        <v>3</v>
      </c>
      <c r="D98" s="2" t="s">
        <v>16</v>
      </c>
      <c r="E98" s="6">
        <f t="shared" si="2"/>
        <v>1</v>
      </c>
      <c r="F98" s="6" t="s">
        <v>30</v>
      </c>
      <c r="G98" s="6" t="s">
        <v>18</v>
      </c>
      <c r="H98" s="6" t="s">
        <v>76</v>
      </c>
      <c r="I98" s="6" t="s">
        <v>77</v>
      </c>
      <c r="J98" s="6" t="s">
        <v>78</v>
      </c>
      <c r="K98" s="3" t="b">
        <f t="shared" si="3"/>
        <v>0</v>
      </c>
      <c r="L98" s="3">
        <v>650.0</v>
      </c>
      <c r="M98" s="6">
        <v>1.0</v>
      </c>
      <c r="N98" s="7">
        <v>8850.0</v>
      </c>
      <c r="O98" s="7">
        <f>N98*M98</f>
        <v>8850</v>
      </c>
    </row>
    <row r="99">
      <c r="A99" s="6">
        <v>2025.0</v>
      </c>
      <c r="B99" s="6" t="s">
        <v>82</v>
      </c>
      <c r="C99" s="1">
        <f t="shared" si="1"/>
        <v>3</v>
      </c>
      <c r="D99" s="2" t="s">
        <v>16</v>
      </c>
      <c r="E99" s="6">
        <f t="shared" si="2"/>
        <v>1</v>
      </c>
      <c r="F99" s="6" t="s">
        <v>30</v>
      </c>
      <c r="G99" s="6" t="s">
        <v>18</v>
      </c>
      <c r="H99" s="6" t="s">
        <v>49</v>
      </c>
      <c r="I99" s="6" t="s">
        <v>109</v>
      </c>
      <c r="K99" s="3" t="b">
        <f t="shared" si="3"/>
        <v>0</v>
      </c>
      <c r="L99" s="3">
        <v>1158.0</v>
      </c>
      <c r="N99" s="7">
        <v>2780.0</v>
      </c>
      <c r="O99" s="7">
        <f t="shared" ref="O99:O106" si="17">N99*L99/1000</f>
        <v>3219.24</v>
      </c>
    </row>
    <row r="100">
      <c r="A100" s="6">
        <v>2025.0</v>
      </c>
      <c r="B100" s="6" t="s">
        <v>82</v>
      </c>
      <c r="C100" s="1">
        <f t="shared" si="1"/>
        <v>3</v>
      </c>
      <c r="D100" s="2" t="s">
        <v>16</v>
      </c>
      <c r="E100" s="6">
        <f t="shared" si="2"/>
        <v>1</v>
      </c>
      <c r="F100" s="6" t="s">
        <v>30</v>
      </c>
      <c r="G100" s="6" t="s">
        <v>18</v>
      </c>
      <c r="H100" s="6" t="s">
        <v>49</v>
      </c>
      <c r="I100" s="6" t="s">
        <v>74</v>
      </c>
      <c r="K100" s="3" t="b">
        <f t="shared" si="3"/>
        <v>0</v>
      </c>
      <c r="L100" s="3">
        <v>2138.0</v>
      </c>
      <c r="N100" s="7">
        <v>1980.0</v>
      </c>
      <c r="O100" s="7">
        <f t="shared" si="17"/>
        <v>4233.24</v>
      </c>
    </row>
    <row r="101">
      <c r="A101" s="6">
        <v>2025.0</v>
      </c>
      <c r="B101" s="6" t="s">
        <v>82</v>
      </c>
      <c r="C101" s="1">
        <f t="shared" si="1"/>
        <v>3</v>
      </c>
      <c r="D101" s="2" t="s">
        <v>16</v>
      </c>
      <c r="E101" s="6">
        <f t="shared" si="2"/>
        <v>1</v>
      </c>
      <c r="F101" s="6" t="s">
        <v>30</v>
      </c>
      <c r="G101" s="6" t="s">
        <v>18</v>
      </c>
      <c r="H101" s="6" t="s">
        <v>37</v>
      </c>
      <c r="I101" s="6" t="s">
        <v>69</v>
      </c>
      <c r="J101" s="6" t="s">
        <v>30</v>
      </c>
      <c r="K101" s="3" t="b">
        <f t="shared" si="3"/>
        <v>0</v>
      </c>
      <c r="L101" s="3">
        <v>1230.0</v>
      </c>
      <c r="N101" s="7">
        <v>14780.0</v>
      </c>
      <c r="O101" s="7">
        <f t="shared" si="17"/>
        <v>18179.4</v>
      </c>
    </row>
    <row r="102">
      <c r="A102" s="6">
        <v>2025.0</v>
      </c>
      <c r="B102" s="6" t="s">
        <v>82</v>
      </c>
      <c r="C102" s="1">
        <f t="shared" si="1"/>
        <v>3</v>
      </c>
      <c r="D102" s="2" t="s">
        <v>16</v>
      </c>
      <c r="E102" s="6">
        <f t="shared" si="2"/>
        <v>1</v>
      </c>
      <c r="F102" s="6" t="s">
        <v>30</v>
      </c>
      <c r="G102" s="6" t="s">
        <v>18</v>
      </c>
      <c r="H102" s="6" t="s">
        <v>49</v>
      </c>
      <c r="I102" s="6" t="s">
        <v>57</v>
      </c>
      <c r="K102" s="3" t="b">
        <f t="shared" si="3"/>
        <v>0</v>
      </c>
      <c r="L102" s="3">
        <f>1094+830</f>
        <v>1924</v>
      </c>
      <c r="N102" s="7">
        <v>2400.0</v>
      </c>
      <c r="O102" s="7">
        <f t="shared" si="17"/>
        <v>4617.6</v>
      </c>
    </row>
    <row r="103">
      <c r="A103" s="6">
        <v>2025.0</v>
      </c>
      <c r="B103" s="6" t="s">
        <v>82</v>
      </c>
      <c r="C103" s="1">
        <f t="shared" si="1"/>
        <v>3</v>
      </c>
      <c r="D103" s="2" t="s">
        <v>16</v>
      </c>
      <c r="E103" s="6">
        <f t="shared" si="2"/>
        <v>1</v>
      </c>
      <c r="F103" s="6" t="s">
        <v>30</v>
      </c>
      <c r="G103" s="6" t="s">
        <v>18</v>
      </c>
      <c r="H103" s="6" t="s">
        <v>49</v>
      </c>
      <c r="I103" s="6" t="s">
        <v>58</v>
      </c>
      <c r="K103" s="3" t="b">
        <f t="shared" si="3"/>
        <v>0</v>
      </c>
      <c r="L103" s="3">
        <v>1010.0</v>
      </c>
      <c r="N103" s="7">
        <v>6200.0</v>
      </c>
      <c r="O103" s="7">
        <f t="shared" si="17"/>
        <v>6262</v>
      </c>
    </row>
    <row r="104">
      <c r="A104" s="6">
        <v>2025.0</v>
      </c>
      <c r="B104" s="6" t="s">
        <v>82</v>
      </c>
      <c r="C104" s="1">
        <f t="shared" si="1"/>
        <v>3</v>
      </c>
      <c r="D104" s="2" t="s">
        <v>16</v>
      </c>
      <c r="E104" s="6">
        <f t="shared" si="2"/>
        <v>1</v>
      </c>
      <c r="F104" s="6" t="s">
        <v>30</v>
      </c>
      <c r="G104" s="6" t="s">
        <v>18</v>
      </c>
      <c r="H104" s="6" t="s">
        <v>33</v>
      </c>
      <c r="I104" s="6" t="s">
        <v>59</v>
      </c>
      <c r="K104" s="3" t="b">
        <f t="shared" si="3"/>
        <v>0</v>
      </c>
      <c r="L104" s="3">
        <v>1276.0</v>
      </c>
      <c r="N104" s="7">
        <v>2580.0</v>
      </c>
      <c r="O104" s="7">
        <f t="shared" si="17"/>
        <v>3292.08</v>
      </c>
    </row>
    <row r="105">
      <c r="A105" s="6">
        <v>2025.0</v>
      </c>
      <c r="B105" s="6" t="s">
        <v>82</v>
      </c>
      <c r="C105" s="1">
        <f t="shared" si="1"/>
        <v>3</v>
      </c>
      <c r="D105" s="2" t="s">
        <v>16</v>
      </c>
      <c r="E105" s="6">
        <f t="shared" si="2"/>
        <v>1</v>
      </c>
      <c r="F105" s="6" t="s">
        <v>30</v>
      </c>
      <c r="G105" s="6" t="s">
        <v>18</v>
      </c>
      <c r="H105" s="6" t="s">
        <v>37</v>
      </c>
      <c r="I105" s="6" t="s">
        <v>60</v>
      </c>
      <c r="J105" s="6" t="s">
        <v>30</v>
      </c>
      <c r="K105" s="3" t="b">
        <f t="shared" si="3"/>
        <v>0</v>
      </c>
      <c r="L105" s="3">
        <v>2960.0</v>
      </c>
      <c r="N105" s="7">
        <v>9400.0</v>
      </c>
      <c r="O105" s="7">
        <f t="shared" si="17"/>
        <v>27824</v>
      </c>
    </row>
    <row r="106">
      <c r="A106" s="6">
        <v>2025.0</v>
      </c>
      <c r="B106" s="6" t="s">
        <v>82</v>
      </c>
      <c r="C106" s="1">
        <f t="shared" si="1"/>
        <v>3</v>
      </c>
      <c r="D106" s="2" t="s">
        <v>16</v>
      </c>
      <c r="E106" s="6">
        <f t="shared" si="2"/>
        <v>1</v>
      </c>
      <c r="F106" s="6" t="s">
        <v>30</v>
      </c>
      <c r="G106" s="6" t="s">
        <v>18</v>
      </c>
      <c r="H106" s="6" t="s">
        <v>49</v>
      </c>
      <c r="I106" s="6" t="s">
        <v>61</v>
      </c>
      <c r="K106" s="3" t="b">
        <f t="shared" si="3"/>
        <v>0</v>
      </c>
      <c r="L106" s="3">
        <v>704.0</v>
      </c>
      <c r="N106" s="7">
        <v>2300.0</v>
      </c>
      <c r="O106" s="7">
        <f t="shared" si="17"/>
        <v>1619.2</v>
      </c>
    </row>
    <row r="107">
      <c r="A107" s="6">
        <v>2025.0</v>
      </c>
      <c r="B107" s="6" t="s">
        <v>82</v>
      </c>
      <c r="C107" s="1">
        <f t="shared" si="1"/>
        <v>3</v>
      </c>
      <c r="D107" s="2" t="s">
        <v>16</v>
      </c>
      <c r="E107" s="6">
        <f t="shared" si="2"/>
        <v>1</v>
      </c>
      <c r="F107" s="6" t="s">
        <v>30</v>
      </c>
      <c r="G107" s="6" t="s">
        <v>18</v>
      </c>
      <c r="H107" s="6" t="s">
        <v>27</v>
      </c>
      <c r="I107" s="6" t="s">
        <v>110</v>
      </c>
      <c r="J107" s="6" t="s">
        <v>111</v>
      </c>
      <c r="K107" s="3" t="b">
        <f t="shared" si="3"/>
        <v>0</v>
      </c>
      <c r="L107" s="3">
        <v>500.0</v>
      </c>
      <c r="M107" s="6">
        <v>1.0</v>
      </c>
      <c r="N107" s="7">
        <v>1350.0</v>
      </c>
      <c r="O107" s="7">
        <f>N107*M107</f>
        <v>1350</v>
      </c>
    </row>
    <row r="108">
      <c r="A108" s="6">
        <v>2025.0</v>
      </c>
      <c r="B108" s="6" t="s">
        <v>82</v>
      </c>
      <c r="C108" s="1">
        <f t="shared" si="1"/>
        <v>3</v>
      </c>
      <c r="D108" s="2" t="s">
        <v>16</v>
      </c>
      <c r="E108" s="6">
        <f t="shared" si="2"/>
        <v>1</v>
      </c>
      <c r="F108" s="6" t="s">
        <v>30</v>
      </c>
      <c r="G108" s="6" t="s">
        <v>18</v>
      </c>
      <c r="H108" s="6" t="s">
        <v>49</v>
      </c>
      <c r="I108" s="6" t="s">
        <v>62</v>
      </c>
      <c r="K108" s="3" t="b">
        <f t="shared" si="3"/>
        <v>0</v>
      </c>
      <c r="L108" s="3">
        <v>3460.0</v>
      </c>
      <c r="N108" s="7">
        <v>5980.0</v>
      </c>
      <c r="O108" s="7">
        <f>N108*L108/1000</f>
        <v>20690.8</v>
      </c>
    </row>
    <row r="109">
      <c r="A109" s="6">
        <v>2025.0</v>
      </c>
      <c r="B109" s="6" t="s">
        <v>82</v>
      </c>
      <c r="C109" s="1">
        <f t="shared" si="1"/>
        <v>3</v>
      </c>
      <c r="D109" s="2" t="s">
        <v>16</v>
      </c>
      <c r="E109" s="6">
        <f t="shared" si="2"/>
        <v>1</v>
      </c>
      <c r="F109" s="6" t="s">
        <v>30</v>
      </c>
      <c r="G109" s="6" t="s">
        <v>18</v>
      </c>
      <c r="H109" s="6" t="s">
        <v>27</v>
      </c>
      <c r="I109" s="6" t="s">
        <v>112</v>
      </c>
      <c r="K109" s="3" t="b">
        <f t="shared" si="3"/>
        <v>0</v>
      </c>
      <c r="L109" s="3">
        <v>55.0</v>
      </c>
      <c r="M109" s="6">
        <v>1.0</v>
      </c>
      <c r="N109" s="7">
        <v>1990.0</v>
      </c>
      <c r="O109" s="7">
        <f>N109*M109</f>
        <v>1990</v>
      </c>
    </row>
    <row r="110">
      <c r="A110" s="6">
        <v>2025.0</v>
      </c>
      <c r="B110" s="6" t="s">
        <v>82</v>
      </c>
      <c r="C110" s="1">
        <f t="shared" si="1"/>
        <v>3</v>
      </c>
      <c r="D110" s="2" t="s">
        <v>16</v>
      </c>
      <c r="E110" s="6">
        <f t="shared" si="2"/>
        <v>1</v>
      </c>
      <c r="F110" s="6" t="s">
        <v>30</v>
      </c>
      <c r="G110" s="6" t="s">
        <v>18</v>
      </c>
      <c r="H110" s="6" t="s">
        <v>49</v>
      </c>
      <c r="I110" s="6" t="s">
        <v>63</v>
      </c>
      <c r="K110" s="3" t="b">
        <f t="shared" si="3"/>
        <v>0</v>
      </c>
      <c r="L110" s="3">
        <v>1094.0</v>
      </c>
      <c r="N110" s="7">
        <v>1980.0</v>
      </c>
      <c r="O110" s="7">
        <f>N110*L110/1000</f>
        <v>2166.12</v>
      </c>
    </row>
    <row r="111">
      <c r="A111" s="6">
        <v>2025.0</v>
      </c>
      <c r="B111" s="6" t="s">
        <v>82</v>
      </c>
      <c r="C111" s="1">
        <f t="shared" si="1"/>
        <v>3</v>
      </c>
      <c r="D111" s="2" t="s">
        <v>65</v>
      </c>
      <c r="E111" s="6">
        <f t="shared" si="2"/>
        <v>2</v>
      </c>
      <c r="F111" s="6" t="s">
        <v>17</v>
      </c>
      <c r="G111" s="6" t="s">
        <v>79</v>
      </c>
      <c r="H111" s="6" t="s">
        <v>96</v>
      </c>
      <c r="I111" s="6" t="s">
        <v>113</v>
      </c>
      <c r="K111" s="3" t="b">
        <f t="shared" si="3"/>
        <v>0</v>
      </c>
      <c r="L111" s="8"/>
      <c r="M111" s="6">
        <v>1.0</v>
      </c>
      <c r="N111" s="10">
        <v>5150.0</v>
      </c>
      <c r="O111" s="7">
        <f t="shared" ref="O111:O129" si="18">N111*M111</f>
        <v>5150</v>
      </c>
    </row>
    <row r="112">
      <c r="A112" s="6">
        <v>2025.0</v>
      </c>
      <c r="B112" s="6" t="s">
        <v>82</v>
      </c>
      <c r="C112" s="1">
        <f t="shared" si="1"/>
        <v>3</v>
      </c>
      <c r="D112" s="2" t="s">
        <v>65</v>
      </c>
      <c r="E112" s="6">
        <f t="shared" si="2"/>
        <v>2</v>
      </c>
      <c r="F112" s="6" t="s">
        <v>17</v>
      </c>
      <c r="G112" s="6" t="s">
        <v>18</v>
      </c>
      <c r="H112" s="6" t="s">
        <v>85</v>
      </c>
      <c r="I112" s="6" t="s">
        <v>86</v>
      </c>
      <c r="K112" s="3" t="b">
        <f t="shared" si="3"/>
        <v>0</v>
      </c>
      <c r="L112" s="8"/>
      <c r="M112" s="6">
        <v>1.0</v>
      </c>
      <c r="N112" s="9">
        <v>1250.0</v>
      </c>
      <c r="O112" s="7">
        <f t="shared" si="18"/>
        <v>1250</v>
      </c>
    </row>
    <row r="113">
      <c r="A113" s="6">
        <v>2025.0</v>
      </c>
      <c r="B113" s="6" t="s">
        <v>82</v>
      </c>
      <c r="C113" s="1">
        <f t="shared" si="1"/>
        <v>3</v>
      </c>
      <c r="D113" s="2" t="s">
        <v>65</v>
      </c>
      <c r="E113" s="6">
        <f t="shared" si="2"/>
        <v>2</v>
      </c>
      <c r="F113" s="6" t="s">
        <v>17</v>
      </c>
      <c r="G113" s="6" t="s">
        <v>79</v>
      </c>
      <c r="H113" s="6" t="s">
        <v>96</v>
      </c>
      <c r="I113" s="6" t="s">
        <v>114</v>
      </c>
      <c r="K113" s="3" t="b">
        <f t="shared" si="3"/>
        <v>0</v>
      </c>
      <c r="L113" s="8"/>
      <c r="M113" s="6">
        <v>2.0</v>
      </c>
      <c r="N113" s="10">
        <v>4250.0</v>
      </c>
      <c r="O113" s="7">
        <f t="shared" si="18"/>
        <v>8500</v>
      </c>
    </row>
    <row r="114">
      <c r="A114" s="6">
        <v>2025.0</v>
      </c>
      <c r="B114" s="6" t="s">
        <v>82</v>
      </c>
      <c r="C114" s="1">
        <f t="shared" si="1"/>
        <v>3</v>
      </c>
      <c r="D114" s="2" t="s">
        <v>65</v>
      </c>
      <c r="E114" s="6">
        <f t="shared" si="2"/>
        <v>2</v>
      </c>
      <c r="F114" s="6" t="s">
        <v>17</v>
      </c>
      <c r="G114" s="6" t="s">
        <v>83</v>
      </c>
      <c r="H114" s="6" t="s">
        <v>89</v>
      </c>
      <c r="I114" s="6" t="s">
        <v>115</v>
      </c>
      <c r="K114" s="3" t="b">
        <f t="shared" si="3"/>
        <v>0</v>
      </c>
      <c r="L114" s="8"/>
      <c r="M114" s="6">
        <v>1.0</v>
      </c>
      <c r="N114" s="10">
        <v>4950.0</v>
      </c>
      <c r="O114" s="7">
        <f t="shared" si="18"/>
        <v>4950</v>
      </c>
    </row>
    <row r="115">
      <c r="A115" s="6">
        <v>2025.0</v>
      </c>
      <c r="B115" s="6" t="s">
        <v>82</v>
      </c>
      <c r="C115" s="1">
        <f t="shared" si="1"/>
        <v>3</v>
      </c>
      <c r="D115" s="2" t="s">
        <v>65</v>
      </c>
      <c r="E115" s="6">
        <f t="shared" si="2"/>
        <v>2</v>
      </c>
      <c r="F115" s="6" t="s">
        <v>17</v>
      </c>
      <c r="G115" s="6" t="s">
        <v>18</v>
      </c>
      <c r="H115" s="6" t="s">
        <v>85</v>
      </c>
      <c r="I115" s="6" t="s">
        <v>88</v>
      </c>
      <c r="K115" s="3" t="b">
        <f t="shared" si="3"/>
        <v>0</v>
      </c>
      <c r="L115" s="8"/>
      <c r="M115" s="6">
        <v>1.0</v>
      </c>
      <c r="N115" s="9">
        <v>1250.0</v>
      </c>
      <c r="O115" s="7">
        <f t="shared" si="18"/>
        <v>1250</v>
      </c>
    </row>
    <row r="116">
      <c r="A116" s="6">
        <v>2025.0</v>
      </c>
      <c r="B116" s="6" t="s">
        <v>82</v>
      </c>
      <c r="C116" s="1">
        <f t="shared" si="1"/>
        <v>3</v>
      </c>
      <c r="D116" s="2" t="s">
        <v>65</v>
      </c>
      <c r="E116" s="6">
        <f t="shared" si="2"/>
        <v>2</v>
      </c>
      <c r="F116" s="6" t="s">
        <v>17</v>
      </c>
      <c r="G116" s="6" t="s">
        <v>79</v>
      </c>
      <c r="H116" s="6" t="s">
        <v>80</v>
      </c>
      <c r="I116" s="6" t="s">
        <v>81</v>
      </c>
      <c r="K116" s="3" t="b">
        <f t="shared" si="3"/>
        <v>0</v>
      </c>
      <c r="L116" s="8"/>
      <c r="M116" s="6">
        <v>1.0</v>
      </c>
      <c r="N116" s="10">
        <v>13940.0</v>
      </c>
      <c r="O116" s="7">
        <f t="shared" si="18"/>
        <v>13940</v>
      </c>
    </row>
    <row r="117">
      <c r="A117" s="6">
        <v>2025.0</v>
      </c>
      <c r="B117" s="6" t="s">
        <v>82</v>
      </c>
      <c r="C117" s="1">
        <f t="shared" si="1"/>
        <v>3</v>
      </c>
      <c r="D117" s="2" t="s">
        <v>65</v>
      </c>
      <c r="E117" s="6">
        <f t="shared" si="2"/>
        <v>2</v>
      </c>
      <c r="F117" s="6" t="s">
        <v>17</v>
      </c>
      <c r="G117" s="6" t="s">
        <v>18</v>
      </c>
      <c r="H117" s="6" t="s">
        <v>92</v>
      </c>
      <c r="I117" s="6" t="s">
        <v>116</v>
      </c>
      <c r="K117" s="3" t="b">
        <f t="shared" si="3"/>
        <v>0</v>
      </c>
      <c r="L117" s="8"/>
      <c r="M117" s="6">
        <v>1.0</v>
      </c>
      <c r="N117" s="10">
        <v>4490.0</v>
      </c>
      <c r="O117" s="7">
        <f t="shared" si="18"/>
        <v>4490</v>
      </c>
    </row>
    <row r="118">
      <c r="A118" s="6">
        <v>2025.0</v>
      </c>
      <c r="B118" s="6" t="s">
        <v>82</v>
      </c>
      <c r="C118" s="1">
        <f t="shared" si="1"/>
        <v>3</v>
      </c>
      <c r="D118" s="2" t="s">
        <v>65</v>
      </c>
      <c r="E118" s="6">
        <f t="shared" si="2"/>
        <v>2</v>
      </c>
      <c r="F118" s="6" t="s">
        <v>17</v>
      </c>
      <c r="G118" s="6" t="s">
        <v>18</v>
      </c>
      <c r="H118" s="6" t="s">
        <v>92</v>
      </c>
      <c r="I118" s="6" t="s">
        <v>93</v>
      </c>
      <c r="K118" s="3" t="b">
        <f t="shared" si="3"/>
        <v>0</v>
      </c>
      <c r="L118" s="8"/>
      <c r="M118" s="6">
        <v>3.0</v>
      </c>
      <c r="N118" s="7">
        <v>1990.0</v>
      </c>
      <c r="O118" s="7">
        <f t="shared" si="18"/>
        <v>5970</v>
      </c>
    </row>
    <row r="119">
      <c r="A119" s="6">
        <v>2025.0</v>
      </c>
      <c r="B119" s="6" t="s">
        <v>82</v>
      </c>
      <c r="C119" s="1">
        <f t="shared" si="1"/>
        <v>3</v>
      </c>
      <c r="D119" s="2" t="s">
        <v>65</v>
      </c>
      <c r="E119" s="6">
        <f t="shared" si="2"/>
        <v>2</v>
      </c>
      <c r="F119" s="6" t="s">
        <v>17</v>
      </c>
      <c r="G119" s="6" t="s">
        <v>18</v>
      </c>
      <c r="H119" s="6" t="s">
        <v>37</v>
      </c>
      <c r="I119" s="6" t="s">
        <v>117</v>
      </c>
      <c r="K119" s="3" t="b">
        <f t="shared" si="3"/>
        <v>0</v>
      </c>
      <c r="L119" s="8"/>
      <c r="M119" s="6">
        <v>1.0</v>
      </c>
      <c r="N119" s="10">
        <v>8990.0</v>
      </c>
      <c r="O119" s="7">
        <f t="shared" si="18"/>
        <v>8990</v>
      </c>
    </row>
    <row r="120">
      <c r="A120" s="6">
        <v>2025.0</v>
      </c>
      <c r="B120" s="6" t="s">
        <v>82</v>
      </c>
      <c r="C120" s="1">
        <f t="shared" si="1"/>
        <v>3</v>
      </c>
      <c r="D120" s="2" t="s">
        <v>65</v>
      </c>
      <c r="E120" s="6">
        <f t="shared" si="2"/>
        <v>2</v>
      </c>
      <c r="F120" s="6" t="s">
        <v>17</v>
      </c>
      <c r="G120" s="6" t="s">
        <v>79</v>
      </c>
      <c r="H120" s="6" t="s">
        <v>96</v>
      </c>
      <c r="I120" s="6" t="s">
        <v>97</v>
      </c>
      <c r="K120" s="3" t="b">
        <f t="shared" si="3"/>
        <v>0</v>
      </c>
      <c r="L120" s="8"/>
      <c r="M120" s="6">
        <v>1.0</v>
      </c>
      <c r="N120" s="9">
        <v>5350.0</v>
      </c>
      <c r="O120" s="7">
        <f t="shared" si="18"/>
        <v>5350</v>
      </c>
    </row>
    <row r="121">
      <c r="A121" s="6">
        <v>2025.0</v>
      </c>
      <c r="B121" s="6" t="s">
        <v>82</v>
      </c>
      <c r="C121" s="1">
        <f t="shared" si="1"/>
        <v>3</v>
      </c>
      <c r="D121" s="2" t="s">
        <v>65</v>
      </c>
      <c r="E121" s="6">
        <f t="shared" si="2"/>
        <v>2</v>
      </c>
      <c r="F121" s="6" t="s">
        <v>17</v>
      </c>
      <c r="G121" s="6" t="s">
        <v>18</v>
      </c>
      <c r="H121" s="6" t="s">
        <v>37</v>
      </c>
      <c r="I121" s="6" t="s">
        <v>98</v>
      </c>
      <c r="K121" s="3" t="b">
        <f t="shared" si="3"/>
        <v>0</v>
      </c>
      <c r="L121" s="8"/>
      <c r="M121" s="6">
        <v>1.0</v>
      </c>
      <c r="N121" s="9">
        <v>8700.0</v>
      </c>
      <c r="O121" s="7">
        <f t="shared" si="18"/>
        <v>8700</v>
      </c>
    </row>
    <row r="122">
      <c r="A122" s="6">
        <v>2025.0</v>
      </c>
      <c r="B122" s="6" t="s">
        <v>82</v>
      </c>
      <c r="C122" s="1">
        <f t="shared" si="1"/>
        <v>3</v>
      </c>
      <c r="D122" s="2" t="s">
        <v>65</v>
      </c>
      <c r="E122" s="6">
        <f t="shared" si="2"/>
        <v>2</v>
      </c>
      <c r="F122" s="6" t="s">
        <v>17</v>
      </c>
      <c r="G122" s="6" t="s">
        <v>18</v>
      </c>
      <c r="H122" s="6" t="s">
        <v>37</v>
      </c>
      <c r="I122" s="6" t="s">
        <v>87</v>
      </c>
      <c r="K122" s="3" t="b">
        <f t="shared" si="3"/>
        <v>0</v>
      </c>
      <c r="L122" s="8"/>
      <c r="M122" s="6">
        <v>1.0</v>
      </c>
      <c r="N122" s="10">
        <v>13980.0</v>
      </c>
      <c r="O122" s="7">
        <f t="shared" si="18"/>
        <v>13980</v>
      </c>
    </row>
    <row r="123">
      <c r="A123" s="6">
        <v>2025.0</v>
      </c>
      <c r="B123" s="6" t="s">
        <v>82</v>
      </c>
      <c r="C123" s="1">
        <f t="shared" si="1"/>
        <v>3</v>
      </c>
      <c r="D123" s="2" t="s">
        <v>65</v>
      </c>
      <c r="E123" s="6">
        <f t="shared" si="2"/>
        <v>2</v>
      </c>
      <c r="F123" s="6" t="s">
        <v>17</v>
      </c>
      <c r="G123" s="6" t="s">
        <v>18</v>
      </c>
      <c r="H123" s="6" t="s">
        <v>27</v>
      </c>
      <c r="I123" s="6" t="s">
        <v>100</v>
      </c>
      <c r="K123" s="3" t="b">
        <f t="shared" si="3"/>
        <v>0</v>
      </c>
      <c r="L123" s="8"/>
      <c r="M123" s="6">
        <v>1.0</v>
      </c>
      <c r="N123" s="9">
        <v>3790.0</v>
      </c>
      <c r="O123" s="7">
        <f t="shared" si="18"/>
        <v>3790</v>
      </c>
    </row>
    <row r="124">
      <c r="A124" s="6">
        <v>2025.0</v>
      </c>
      <c r="B124" s="6" t="s">
        <v>82</v>
      </c>
      <c r="C124" s="1">
        <f t="shared" si="1"/>
        <v>3</v>
      </c>
      <c r="D124" s="2" t="s">
        <v>65</v>
      </c>
      <c r="E124" s="6">
        <f t="shared" si="2"/>
        <v>2</v>
      </c>
      <c r="F124" s="6" t="s">
        <v>17</v>
      </c>
      <c r="G124" s="6" t="s">
        <v>18</v>
      </c>
      <c r="H124" s="6" t="s">
        <v>27</v>
      </c>
      <c r="I124" s="6" t="s">
        <v>101</v>
      </c>
      <c r="K124" s="3" t="b">
        <f t="shared" si="3"/>
        <v>0</v>
      </c>
      <c r="L124" s="8"/>
      <c r="M124" s="6">
        <v>1.0</v>
      </c>
      <c r="N124" s="9">
        <v>4750.0</v>
      </c>
      <c r="O124" s="7">
        <f t="shared" si="18"/>
        <v>4750</v>
      </c>
    </row>
    <row r="125">
      <c r="A125" s="6">
        <v>2025.0</v>
      </c>
      <c r="B125" s="6" t="s">
        <v>82</v>
      </c>
      <c r="C125" s="1">
        <f t="shared" si="1"/>
        <v>3</v>
      </c>
      <c r="D125" s="2" t="s">
        <v>65</v>
      </c>
      <c r="E125" s="6">
        <f t="shared" si="2"/>
        <v>2</v>
      </c>
      <c r="F125" s="6" t="s">
        <v>17</v>
      </c>
      <c r="G125" s="6" t="s">
        <v>18</v>
      </c>
      <c r="H125" s="6" t="s">
        <v>27</v>
      </c>
      <c r="I125" s="6" t="s">
        <v>118</v>
      </c>
      <c r="K125" s="3" t="b">
        <f t="shared" si="3"/>
        <v>0</v>
      </c>
      <c r="L125" s="8"/>
      <c r="M125" s="6">
        <v>1.0</v>
      </c>
      <c r="N125" s="7">
        <v>1490.0</v>
      </c>
      <c r="O125" s="7">
        <f t="shared" si="18"/>
        <v>1490</v>
      </c>
    </row>
    <row r="126">
      <c r="A126" s="6">
        <v>2025.0</v>
      </c>
      <c r="B126" s="6" t="s">
        <v>82</v>
      </c>
      <c r="C126" s="1">
        <f t="shared" si="1"/>
        <v>3</v>
      </c>
      <c r="D126" s="2" t="s">
        <v>65</v>
      </c>
      <c r="E126" s="6">
        <f t="shared" si="2"/>
        <v>2</v>
      </c>
      <c r="F126" s="6" t="s">
        <v>17</v>
      </c>
      <c r="G126" s="6" t="s">
        <v>18</v>
      </c>
      <c r="H126" s="6" t="s">
        <v>94</v>
      </c>
      <c r="I126" s="6" t="s">
        <v>103</v>
      </c>
      <c r="K126" s="3" t="b">
        <f t="shared" si="3"/>
        <v>0</v>
      </c>
      <c r="L126" s="8"/>
      <c r="M126" s="6">
        <v>3.0</v>
      </c>
      <c r="N126" s="7">
        <v>1950.0</v>
      </c>
      <c r="O126" s="7">
        <f t="shared" si="18"/>
        <v>5850</v>
      </c>
    </row>
    <row r="127">
      <c r="A127" s="6">
        <v>2025.0</v>
      </c>
      <c r="B127" s="6" t="s">
        <v>82</v>
      </c>
      <c r="C127" s="1">
        <f t="shared" si="1"/>
        <v>3</v>
      </c>
      <c r="D127" s="2" t="s">
        <v>65</v>
      </c>
      <c r="E127" s="6">
        <f t="shared" si="2"/>
        <v>2</v>
      </c>
      <c r="F127" s="6" t="s">
        <v>17</v>
      </c>
      <c r="G127" s="6" t="s">
        <v>18</v>
      </c>
      <c r="H127" s="6" t="s">
        <v>19</v>
      </c>
      <c r="I127" s="6" t="s">
        <v>104</v>
      </c>
      <c r="K127" s="3" t="b">
        <f t="shared" si="3"/>
        <v>0</v>
      </c>
      <c r="L127" s="8"/>
      <c r="M127" s="6">
        <v>1.0</v>
      </c>
      <c r="N127" s="7">
        <v>7990.0</v>
      </c>
      <c r="O127" s="7">
        <f t="shared" si="18"/>
        <v>7990</v>
      </c>
    </row>
    <row r="128">
      <c r="A128" s="6">
        <v>2025.0</v>
      </c>
      <c r="B128" s="6" t="s">
        <v>82</v>
      </c>
      <c r="C128" s="1">
        <f t="shared" si="1"/>
        <v>3</v>
      </c>
      <c r="D128" s="2" t="s">
        <v>65</v>
      </c>
      <c r="E128" s="6">
        <f t="shared" si="2"/>
        <v>2</v>
      </c>
      <c r="F128" s="6" t="s">
        <v>17</v>
      </c>
      <c r="G128" s="6" t="s">
        <v>18</v>
      </c>
      <c r="H128" s="6" t="s">
        <v>94</v>
      </c>
      <c r="I128" s="6" t="s">
        <v>119</v>
      </c>
      <c r="K128" s="3" t="b">
        <f t="shared" si="3"/>
        <v>0</v>
      </c>
      <c r="L128" s="8"/>
      <c r="M128" s="6">
        <v>1.0</v>
      </c>
      <c r="N128" s="10">
        <v>4950.0</v>
      </c>
      <c r="O128" s="7">
        <f t="shared" si="18"/>
        <v>4950</v>
      </c>
    </row>
    <row r="129">
      <c r="A129" s="6">
        <v>2025.0</v>
      </c>
      <c r="B129" s="6" t="s">
        <v>82</v>
      </c>
      <c r="C129" s="1">
        <f t="shared" si="1"/>
        <v>3</v>
      </c>
      <c r="D129" s="2" t="s">
        <v>65</v>
      </c>
      <c r="E129" s="6">
        <f t="shared" si="2"/>
        <v>2</v>
      </c>
      <c r="F129" s="6" t="s">
        <v>17</v>
      </c>
      <c r="G129" s="6" t="s">
        <v>18</v>
      </c>
      <c r="H129" s="6" t="s">
        <v>76</v>
      </c>
      <c r="I129" s="6" t="s">
        <v>120</v>
      </c>
      <c r="K129" s="3" t="b">
        <f t="shared" si="3"/>
        <v>0</v>
      </c>
      <c r="L129" s="8"/>
      <c r="M129" s="6">
        <v>1.0</v>
      </c>
      <c r="N129" s="10">
        <v>3400.0</v>
      </c>
      <c r="O129" s="7">
        <f t="shared" si="18"/>
        <v>3400</v>
      </c>
    </row>
    <row r="130">
      <c r="A130" s="6">
        <v>2025.0</v>
      </c>
      <c r="B130" s="6" t="s">
        <v>82</v>
      </c>
      <c r="C130" s="1">
        <f t="shared" si="1"/>
        <v>3</v>
      </c>
      <c r="D130" s="2" t="s">
        <v>65</v>
      </c>
      <c r="E130" s="6">
        <f t="shared" si="2"/>
        <v>2</v>
      </c>
      <c r="F130" s="6" t="s">
        <v>30</v>
      </c>
      <c r="G130" s="6" t="s">
        <v>18</v>
      </c>
      <c r="H130" s="6" t="s">
        <v>33</v>
      </c>
      <c r="I130" s="6" t="s">
        <v>59</v>
      </c>
      <c r="K130" s="3" t="b">
        <f t="shared" si="3"/>
        <v>0</v>
      </c>
      <c r="L130" s="3">
        <v>2084.0</v>
      </c>
      <c r="N130" s="7">
        <v>2380.0</v>
      </c>
      <c r="O130" s="7">
        <f t="shared" ref="O130:O143" si="19">N130*L130/1000</f>
        <v>4959.92</v>
      </c>
    </row>
    <row r="131">
      <c r="A131" s="6">
        <v>2025.0</v>
      </c>
      <c r="B131" s="6" t="s">
        <v>82</v>
      </c>
      <c r="C131" s="1">
        <f t="shared" si="1"/>
        <v>3</v>
      </c>
      <c r="D131" s="2" t="s">
        <v>65</v>
      </c>
      <c r="E131" s="6">
        <f t="shared" si="2"/>
        <v>2</v>
      </c>
      <c r="F131" s="6" t="s">
        <v>30</v>
      </c>
      <c r="G131" s="6" t="s">
        <v>18</v>
      </c>
      <c r="H131" s="6" t="s">
        <v>49</v>
      </c>
      <c r="I131" s="6" t="s">
        <v>50</v>
      </c>
      <c r="K131" s="3" t="b">
        <f t="shared" si="3"/>
        <v>0</v>
      </c>
      <c r="L131" s="3">
        <v>3616.0</v>
      </c>
      <c r="N131" s="7">
        <v>1780.0</v>
      </c>
      <c r="O131" s="7">
        <f t="shared" si="19"/>
        <v>6436.48</v>
      </c>
    </row>
    <row r="132">
      <c r="A132" s="6">
        <v>2025.0</v>
      </c>
      <c r="B132" s="6" t="s">
        <v>82</v>
      </c>
      <c r="C132" s="1">
        <f t="shared" si="1"/>
        <v>3</v>
      </c>
      <c r="D132" s="2" t="s">
        <v>65</v>
      </c>
      <c r="E132" s="6">
        <f t="shared" si="2"/>
        <v>2</v>
      </c>
      <c r="F132" s="6" t="s">
        <v>30</v>
      </c>
      <c r="G132" s="6" t="s">
        <v>18</v>
      </c>
      <c r="H132" s="6" t="s">
        <v>33</v>
      </c>
      <c r="I132" s="6" t="s">
        <v>70</v>
      </c>
      <c r="K132" s="3" t="b">
        <f t="shared" si="3"/>
        <v>0</v>
      </c>
      <c r="L132" s="3">
        <v>1714.0</v>
      </c>
      <c r="N132" s="7">
        <v>2580.0</v>
      </c>
      <c r="O132" s="7">
        <f t="shared" si="19"/>
        <v>4422.12</v>
      </c>
    </row>
    <row r="133">
      <c r="A133" s="6">
        <v>2025.0</v>
      </c>
      <c r="B133" s="6" t="s">
        <v>82</v>
      </c>
      <c r="C133" s="1">
        <f t="shared" si="1"/>
        <v>3</v>
      </c>
      <c r="D133" s="2" t="s">
        <v>65</v>
      </c>
      <c r="E133" s="6">
        <f t="shared" si="2"/>
        <v>2</v>
      </c>
      <c r="F133" s="6" t="s">
        <v>30</v>
      </c>
      <c r="G133" s="6" t="s">
        <v>18</v>
      </c>
      <c r="H133" s="6" t="s">
        <v>49</v>
      </c>
      <c r="I133" s="6" t="s">
        <v>71</v>
      </c>
      <c r="K133" s="3" t="b">
        <f t="shared" si="3"/>
        <v>0</v>
      </c>
      <c r="L133" s="3">
        <v>534.0</v>
      </c>
      <c r="N133" s="7">
        <v>5900.0</v>
      </c>
      <c r="O133" s="7">
        <f t="shared" si="19"/>
        <v>3150.6</v>
      </c>
    </row>
    <row r="134">
      <c r="A134" s="6">
        <v>2025.0</v>
      </c>
      <c r="B134" s="6" t="s">
        <v>82</v>
      </c>
      <c r="C134" s="1">
        <f t="shared" si="1"/>
        <v>3</v>
      </c>
      <c r="D134" s="2" t="s">
        <v>65</v>
      </c>
      <c r="E134" s="6">
        <f t="shared" si="2"/>
        <v>2</v>
      </c>
      <c r="F134" s="6" t="s">
        <v>30</v>
      </c>
      <c r="G134" s="6" t="s">
        <v>18</v>
      </c>
      <c r="H134" s="6" t="s">
        <v>35</v>
      </c>
      <c r="I134" s="6" t="s">
        <v>36</v>
      </c>
      <c r="K134" s="3" t="b">
        <f t="shared" si="3"/>
        <v>0</v>
      </c>
      <c r="L134" s="3">
        <v>134.0</v>
      </c>
      <c r="N134" s="7">
        <v>12300.0</v>
      </c>
      <c r="O134" s="7">
        <f t="shared" si="19"/>
        <v>1648.2</v>
      </c>
    </row>
    <row r="135">
      <c r="A135" s="6">
        <v>2025.0</v>
      </c>
      <c r="B135" s="6" t="s">
        <v>82</v>
      </c>
      <c r="C135" s="1">
        <f t="shared" si="1"/>
        <v>3</v>
      </c>
      <c r="D135" s="2" t="s">
        <v>65</v>
      </c>
      <c r="E135" s="6">
        <f t="shared" si="2"/>
        <v>2</v>
      </c>
      <c r="F135" s="6" t="s">
        <v>30</v>
      </c>
      <c r="G135" s="6" t="s">
        <v>18</v>
      </c>
      <c r="H135" s="6" t="s">
        <v>33</v>
      </c>
      <c r="I135" s="6" t="s">
        <v>34</v>
      </c>
      <c r="K135" s="3" t="b">
        <f t="shared" si="3"/>
        <v>0</v>
      </c>
      <c r="L135" s="3">
        <v>1794.0</v>
      </c>
      <c r="N135" s="7">
        <v>9000.0</v>
      </c>
      <c r="O135" s="7">
        <f t="shared" si="19"/>
        <v>16146</v>
      </c>
    </row>
    <row r="136">
      <c r="A136" s="6">
        <v>2025.0</v>
      </c>
      <c r="B136" s="6" t="s">
        <v>82</v>
      </c>
      <c r="C136" s="1">
        <f t="shared" si="1"/>
        <v>3</v>
      </c>
      <c r="D136" s="2" t="s">
        <v>65</v>
      </c>
      <c r="E136" s="6">
        <f t="shared" si="2"/>
        <v>2</v>
      </c>
      <c r="F136" s="6" t="s">
        <v>30</v>
      </c>
      <c r="G136" s="6" t="s">
        <v>18</v>
      </c>
      <c r="H136" s="6" t="s">
        <v>49</v>
      </c>
      <c r="I136" s="6" t="s">
        <v>51</v>
      </c>
      <c r="K136" s="3" t="b">
        <f t="shared" si="3"/>
        <v>0</v>
      </c>
      <c r="L136" s="3">
        <v>432.0</v>
      </c>
      <c r="N136" s="7">
        <v>6900.0</v>
      </c>
      <c r="O136" s="7">
        <f t="shared" si="19"/>
        <v>2980.8</v>
      </c>
    </row>
    <row r="137">
      <c r="A137" s="6">
        <v>2025.0</v>
      </c>
      <c r="B137" s="6" t="s">
        <v>82</v>
      </c>
      <c r="C137" s="1">
        <f t="shared" si="1"/>
        <v>3</v>
      </c>
      <c r="D137" s="2" t="s">
        <v>65</v>
      </c>
      <c r="E137" s="6">
        <f t="shared" si="2"/>
        <v>2</v>
      </c>
      <c r="F137" s="6" t="s">
        <v>30</v>
      </c>
      <c r="G137" s="6" t="s">
        <v>18</v>
      </c>
      <c r="H137" s="6" t="s">
        <v>49</v>
      </c>
      <c r="I137" s="6" t="s">
        <v>72</v>
      </c>
      <c r="K137" s="3" t="b">
        <f t="shared" si="3"/>
        <v>0</v>
      </c>
      <c r="L137" s="3">
        <v>892.0</v>
      </c>
      <c r="N137" s="7">
        <v>7100.0</v>
      </c>
      <c r="O137" s="7">
        <f t="shared" si="19"/>
        <v>6333.2</v>
      </c>
    </row>
    <row r="138">
      <c r="A138" s="6">
        <v>2025.0</v>
      </c>
      <c r="B138" s="6" t="s">
        <v>82</v>
      </c>
      <c r="C138" s="1">
        <f t="shared" si="1"/>
        <v>3</v>
      </c>
      <c r="D138" s="2" t="s">
        <v>65</v>
      </c>
      <c r="E138" s="6">
        <f t="shared" si="2"/>
        <v>2</v>
      </c>
      <c r="F138" s="6" t="s">
        <v>30</v>
      </c>
      <c r="G138" s="6" t="s">
        <v>18</v>
      </c>
      <c r="H138" s="6" t="s">
        <v>49</v>
      </c>
      <c r="I138" s="6" t="s">
        <v>121</v>
      </c>
      <c r="K138" s="3" t="b">
        <f t="shared" si="3"/>
        <v>0</v>
      </c>
      <c r="L138" s="3">
        <v>1804.0</v>
      </c>
      <c r="N138" s="7">
        <v>3300.0</v>
      </c>
      <c r="O138" s="7">
        <f t="shared" si="19"/>
        <v>5953.2</v>
      </c>
    </row>
    <row r="139">
      <c r="A139" s="6">
        <v>2025.0</v>
      </c>
      <c r="B139" s="6" t="s">
        <v>82</v>
      </c>
      <c r="C139" s="1">
        <f t="shared" si="1"/>
        <v>3</v>
      </c>
      <c r="D139" s="2" t="s">
        <v>65</v>
      </c>
      <c r="E139" s="6">
        <f t="shared" si="2"/>
        <v>2</v>
      </c>
      <c r="F139" s="6" t="s">
        <v>30</v>
      </c>
      <c r="G139" s="6" t="s">
        <v>18</v>
      </c>
      <c r="H139" s="6" t="s">
        <v>49</v>
      </c>
      <c r="I139" s="6" t="s">
        <v>62</v>
      </c>
      <c r="K139" s="3" t="b">
        <f t="shared" si="3"/>
        <v>0</v>
      </c>
      <c r="L139" s="3">
        <v>3788.0</v>
      </c>
      <c r="N139" s="7">
        <v>4700.0</v>
      </c>
      <c r="O139" s="7">
        <f t="shared" si="19"/>
        <v>17803.6</v>
      </c>
    </row>
    <row r="140">
      <c r="A140" s="6">
        <v>2025.0</v>
      </c>
      <c r="B140" s="6" t="s">
        <v>82</v>
      </c>
      <c r="C140" s="1">
        <f t="shared" si="1"/>
        <v>3</v>
      </c>
      <c r="D140" s="2" t="s">
        <v>65</v>
      </c>
      <c r="E140" s="6">
        <f t="shared" si="2"/>
        <v>2</v>
      </c>
      <c r="F140" s="6" t="s">
        <v>30</v>
      </c>
      <c r="G140" s="6" t="s">
        <v>18</v>
      </c>
      <c r="H140" s="6" t="s">
        <v>49</v>
      </c>
      <c r="I140" s="6" t="s">
        <v>57</v>
      </c>
      <c r="K140" s="3" t="b">
        <f t="shared" si="3"/>
        <v>0</v>
      </c>
      <c r="L140" s="3">
        <v>1176.0</v>
      </c>
      <c r="N140" s="7">
        <v>1980.0</v>
      </c>
      <c r="O140" s="7">
        <f t="shared" si="19"/>
        <v>2328.48</v>
      </c>
    </row>
    <row r="141">
      <c r="A141" s="6">
        <v>2025.0</v>
      </c>
      <c r="B141" s="6" t="s">
        <v>82</v>
      </c>
      <c r="C141" s="1">
        <f t="shared" si="1"/>
        <v>3</v>
      </c>
      <c r="D141" s="2" t="s">
        <v>65</v>
      </c>
      <c r="E141" s="6">
        <f t="shared" si="2"/>
        <v>2</v>
      </c>
      <c r="F141" s="6" t="s">
        <v>30</v>
      </c>
      <c r="G141" s="6" t="s">
        <v>18</v>
      </c>
      <c r="H141" s="6" t="s">
        <v>49</v>
      </c>
      <c r="I141" s="6" t="s">
        <v>63</v>
      </c>
      <c r="K141" s="3" t="b">
        <f t="shared" si="3"/>
        <v>0</v>
      </c>
      <c r="L141" s="3">
        <v>1312.0</v>
      </c>
      <c r="N141" s="7">
        <v>1980.0</v>
      </c>
      <c r="O141" s="7">
        <f t="shared" si="19"/>
        <v>2597.76</v>
      </c>
    </row>
    <row r="142">
      <c r="A142" s="6">
        <v>2025.0</v>
      </c>
      <c r="B142" s="6" t="s">
        <v>82</v>
      </c>
      <c r="C142" s="1">
        <f t="shared" si="1"/>
        <v>3</v>
      </c>
      <c r="D142" s="2" t="s">
        <v>65</v>
      </c>
      <c r="E142" s="6">
        <f t="shared" si="2"/>
        <v>2</v>
      </c>
      <c r="F142" s="6" t="s">
        <v>30</v>
      </c>
      <c r="G142" s="6" t="s">
        <v>18</v>
      </c>
      <c r="H142" s="6" t="s">
        <v>33</v>
      </c>
      <c r="I142" s="6" t="s">
        <v>108</v>
      </c>
      <c r="K142" s="3" t="b">
        <f t="shared" si="3"/>
        <v>0</v>
      </c>
      <c r="L142" s="3">
        <v>634.0</v>
      </c>
      <c r="N142" s="7">
        <v>2380.0</v>
      </c>
      <c r="O142" s="7">
        <f t="shared" si="19"/>
        <v>1508.92</v>
      </c>
    </row>
    <row r="143">
      <c r="A143" s="6">
        <v>2025.0</v>
      </c>
      <c r="B143" s="6" t="s">
        <v>82</v>
      </c>
      <c r="C143" s="1">
        <f t="shared" si="1"/>
        <v>3</v>
      </c>
      <c r="D143" s="2" t="s">
        <v>65</v>
      </c>
      <c r="E143" s="6">
        <f t="shared" si="2"/>
        <v>2</v>
      </c>
      <c r="F143" s="6" t="s">
        <v>30</v>
      </c>
      <c r="G143" s="6" t="s">
        <v>18</v>
      </c>
      <c r="H143" s="6" t="s">
        <v>49</v>
      </c>
      <c r="I143" s="6" t="s">
        <v>58</v>
      </c>
      <c r="K143" s="3" t="b">
        <f t="shared" si="3"/>
        <v>0</v>
      </c>
      <c r="L143" s="3">
        <v>836.0</v>
      </c>
      <c r="N143" s="7">
        <v>5100.0</v>
      </c>
      <c r="O143" s="7">
        <f t="shared" si="19"/>
        <v>4263.6</v>
      </c>
    </row>
    <row r="144">
      <c r="A144" s="6">
        <v>2025.0</v>
      </c>
      <c r="B144" s="6" t="s">
        <v>82</v>
      </c>
      <c r="C144" s="1">
        <f t="shared" si="1"/>
        <v>3</v>
      </c>
      <c r="D144" s="2" t="s">
        <v>65</v>
      </c>
      <c r="E144" s="6">
        <f t="shared" si="2"/>
        <v>2</v>
      </c>
      <c r="F144" s="6" t="s">
        <v>30</v>
      </c>
      <c r="G144" s="6" t="s">
        <v>18</v>
      </c>
      <c r="H144" s="6" t="s">
        <v>31</v>
      </c>
      <c r="I144" s="6" t="s">
        <v>32</v>
      </c>
      <c r="K144" s="3" t="b">
        <f t="shared" si="3"/>
        <v>0</v>
      </c>
      <c r="L144" s="3">
        <v>900.0</v>
      </c>
      <c r="M144" s="6">
        <v>1.0</v>
      </c>
      <c r="N144" s="7">
        <v>7200.0</v>
      </c>
      <c r="O144" s="7">
        <f t="shared" ref="O144:O151" si="20">N144*M144</f>
        <v>7200</v>
      </c>
    </row>
    <row r="145">
      <c r="A145" s="6">
        <v>2025.0</v>
      </c>
      <c r="B145" s="6" t="s">
        <v>82</v>
      </c>
      <c r="C145" s="1">
        <f t="shared" si="1"/>
        <v>3</v>
      </c>
      <c r="D145" s="2" t="s">
        <v>65</v>
      </c>
      <c r="E145" s="6">
        <f t="shared" si="2"/>
        <v>2</v>
      </c>
      <c r="F145" s="6" t="s">
        <v>30</v>
      </c>
      <c r="G145" s="6" t="s">
        <v>18</v>
      </c>
      <c r="H145" s="6" t="s">
        <v>92</v>
      </c>
      <c r="I145" s="6" t="s">
        <v>122</v>
      </c>
      <c r="K145" s="3" t="b">
        <f t="shared" si="3"/>
        <v>0</v>
      </c>
      <c r="L145" s="3">
        <v>500.0</v>
      </c>
      <c r="M145" s="6">
        <v>1.0</v>
      </c>
      <c r="N145" s="7">
        <v>1350.0</v>
      </c>
      <c r="O145" s="7">
        <f t="shared" si="20"/>
        <v>1350</v>
      </c>
    </row>
    <row r="146">
      <c r="A146" s="6">
        <v>2025.0</v>
      </c>
      <c r="B146" s="6" t="s">
        <v>82</v>
      </c>
      <c r="C146" s="1">
        <f t="shared" si="1"/>
        <v>3</v>
      </c>
      <c r="D146" s="2" t="s">
        <v>65</v>
      </c>
      <c r="E146" s="6">
        <f t="shared" si="2"/>
        <v>2</v>
      </c>
      <c r="F146" s="6" t="s">
        <v>30</v>
      </c>
      <c r="G146" s="6" t="s">
        <v>18</v>
      </c>
      <c r="H146" s="6" t="s">
        <v>37</v>
      </c>
      <c r="I146" s="6" t="s">
        <v>38</v>
      </c>
      <c r="K146" s="3" t="b">
        <f t="shared" si="3"/>
        <v>0</v>
      </c>
      <c r="L146" s="3">
        <v>160.0</v>
      </c>
      <c r="M146" s="6">
        <v>1.0</v>
      </c>
      <c r="N146" s="7">
        <v>4990.0</v>
      </c>
      <c r="O146" s="7">
        <f t="shared" si="20"/>
        <v>4990</v>
      </c>
    </row>
    <row r="147">
      <c r="A147" s="6">
        <v>2025.0</v>
      </c>
      <c r="B147" s="6" t="s">
        <v>82</v>
      </c>
      <c r="C147" s="1">
        <f t="shared" si="1"/>
        <v>3</v>
      </c>
      <c r="D147" s="2" t="s">
        <v>65</v>
      </c>
      <c r="E147" s="6">
        <f t="shared" si="2"/>
        <v>2</v>
      </c>
      <c r="F147" s="6" t="s">
        <v>30</v>
      </c>
      <c r="G147" s="6" t="s">
        <v>18</v>
      </c>
      <c r="H147" s="6" t="s">
        <v>24</v>
      </c>
      <c r="I147" s="6" t="s">
        <v>42</v>
      </c>
      <c r="K147" s="3" t="b">
        <f t="shared" si="3"/>
        <v>0</v>
      </c>
      <c r="L147" s="3">
        <v>400.0</v>
      </c>
      <c r="M147" s="6">
        <v>1.0</v>
      </c>
      <c r="N147" s="7">
        <v>15990.0</v>
      </c>
      <c r="O147" s="7">
        <f t="shared" si="20"/>
        <v>15990</v>
      </c>
    </row>
    <row r="148">
      <c r="A148" s="6">
        <v>2025.0</v>
      </c>
      <c r="B148" s="6" t="s">
        <v>82</v>
      </c>
      <c r="C148" s="1">
        <f t="shared" si="1"/>
        <v>3</v>
      </c>
      <c r="D148" s="2" t="s">
        <v>65</v>
      </c>
      <c r="E148" s="6">
        <f t="shared" si="2"/>
        <v>2</v>
      </c>
      <c r="F148" s="6" t="s">
        <v>30</v>
      </c>
      <c r="G148" s="6" t="s">
        <v>18</v>
      </c>
      <c r="H148" s="6" t="s">
        <v>52</v>
      </c>
      <c r="I148" s="6" t="s">
        <v>53</v>
      </c>
      <c r="K148" s="3" t="b">
        <f t="shared" si="3"/>
        <v>0</v>
      </c>
      <c r="L148" s="3">
        <v>500.0</v>
      </c>
      <c r="M148" s="6">
        <v>1.0</v>
      </c>
      <c r="N148" s="7">
        <v>3550.0</v>
      </c>
      <c r="O148" s="7">
        <f t="shared" si="20"/>
        <v>3550</v>
      </c>
    </row>
    <row r="149">
      <c r="A149" s="6">
        <v>2025.0</v>
      </c>
      <c r="B149" s="6" t="s">
        <v>82</v>
      </c>
      <c r="C149" s="1">
        <f t="shared" si="1"/>
        <v>3</v>
      </c>
      <c r="D149" s="2" t="s">
        <v>65</v>
      </c>
      <c r="E149" s="6">
        <f t="shared" si="2"/>
        <v>2</v>
      </c>
      <c r="F149" s="6" t="s">
        <v>30</v>
      </c>
      <c r="G149" s="6" t="s">
        <v>18</v>
      </c>
      <c r="H149" s="6" t="s">
        <v>52</v>
      </c>
      <c r="I149" s="6" t="s">
        <v>54</v>
      </c>
      <c r="K149" s="3" t="b">
        <f t="shared" si="3"/>
        <v>0</v>
      </c>
      <c r="L149" s="3">
        <v>500.0</v>
      </c>
      <c r="M149" s="6">
        <v>1.0</v>
      </c>
      <c r="N149" s="7">
        <v>3990.0</v>
      </c>
      <c r="O149" s="7">
        <f t="shared" si="20"/>
        <v>3990</v>
      </c>
    </row>
    <row r="150">
      <c r="A150" s="6">
        <v>2025.0</v>
      </c>
      <c r="B150" s="6" t="s">
        <v>82</v>
      </c>
      <c r="C150" s="1">
        <f t="shared" si="1"/>
        <v>3</v>
      </c>
      <c r="D150" s="2" t="s">
        <v>65</v>
      </c>
      <c r="E150" s="6">
        <f t="shared" si="2"/>
        <v>2</v>
      </c>
      <c r="F150" s="6" t="s">
        <v>30</v>
      </c>
      <c r="G150" s="6" t="s">
        <v>18</v>
      </c>
      <c r="H150" s="6" t="s">
        <v>52</v>
      </c>
      <c r="I150" s="6" t="s">
        <v>75</v>
      </c>
      <c r="K150" s="3" t="b">
        <f t="shared" si="3"/>
        <v>0</v>
      </c>
      <c r="L150" s="3">
        <v>500.0</v>
      </c>
      <c r="M150" s="6">
        <v>1.0</v>
      </c>
      <c r="N150" s="7">
        <v>1990.0</v>
      </c>
      <c r="O150" s="7">
        <f t="shared" si="20"/>
        <v>1990</v>
      </c>
    </row>
    <row r="151">
      <c r="A151" s="6">
        <v>2025.0</v>
      </c>
      <c r="B151" s="6" t="s">
        <v>82</v>
      </c>
      <c r="C151" s="1">
        <f t="shared" si="1"/>
        <v>3</v>
      </c>
      <c r="D151" s="2" t="s">
        <v>65</v>
      </c>
      <c r="E151" s="6">
        <f t="shared" si="2"/>
        <v>2</v>
      </c>
      <c r="F151" s="6" t="s">
        <v>30</v>
      </c>
      <c r="G151" s="6" t="s">
        <v>18</v>
      </c>
      <c r="H151" s="6" t="s">
        <v>24</v>
      </c>
      <c r="I151" s="6" t="s">
        <v>25</v>
      </c>
      <c r="K151" s="3" t="b">
        <f t="shared" si="3"/>
        <v>0</v>
      </c>
      <c r="L151" s="3">
        <v>440.0</v>
      </c>
      <c r="M151" s="6">
        <v>1.0</v>
      </c>
      <c r="N151" s="7">
        <v>12990.0</v>
      </c>
      <c r="O151" s="7">
        <f t="shared" si="20"/>
        <v>12990</v>
      </c>
    </row>
    <row r="152">
      <c r="A152" s="6">
        <v>2025.0</v>
      </c>
      <c r="B152" s="6" t="s">
        <v>82</v>
      </c>
      <c r="C152" s="1">
        <f t="shared" si="1"/>
        <v>3</v>
      </c>
      <c r="D152" s="2" t="s">
        <v>65</v>
      </c>
      <c r="E152" s="6">
        <f t="shared" si="2"/>
        <v>2</v>
      </c>
      <c r="F152" s="6" t="s">
        <v>30</v>
      </c>
      <c r="G152" s="6" t="s">
        <v>18</v>
      </c>
      <c r="H152" s="6" t="s">
        <v>37</v>
      </c>
      <c r="I152" s="6" t="s">
        <v>69</v>
      </c>
      <c r="K152" s="3" t="b">
        <f t="shared" si="3"/>
        <v>0</v>
      </c>
      <c r="L152" s="3">
        <v>1260.0</v>
      </c>
      <c r="N152" s="7">
        <v>14780.0</v>
      </c>
      <c r="O152" s="7">
        <f t="shared" ref="O152:O158" si="21">N152*L152/1000</f>
        <v>18622.8</v>
      </c>
    </row>
    <row r="153">
      <c r="A153" s="6">
        <v>2025.0</v>
      </c>
      <c r="B153" s="6" t="s">
        <v>82</v>
      </c>
      <c r="C153" s="1">
        <f t="shared" si="1"/>
        <v>3</v>
      </c>
      <c r="D153" s="2" t="s">
        <v>65</v>
      </c>
      <c r="E153" s="6">
        <f t="shared" si="2"/>
        <v>2</v>
      </c>
      <c r="F153" s="6" t="s">
        <v>30</v>
      </c>
      <c r="G153" s="6" t="s">
        <v>18</v>
      </c>
      <c r="H153" s="6" t="s">
        <v>37</v>
      </c>
      <c r="I153" s="6" t="s">
        <v>60</v>
      </c>
      <c r="K153" s="3" t="b">
        <f t="shared" si="3"/>
        <v>0</v>
      </c>
      <c r="L153" s="3">
        <v>3065.0</v>
      </c>
      <c r="N153" s="7">
        <v>9400.0</v>
      </c>
      <c r="O153" s="7">
        <f t="shared" si="21"/>
        <v>28811</v>
      </c>
    </row>
    <row r="154">
      <c r="A154" s="6">
        <v>2025.0</v>
      </c>
      <c r="B154" s="6" t="s">
        <v>82</v>
      </c>
      <c r="C154" s="1">
        <f t="shared" si="1"/>
        <v>3</v>
      </c>
      <c r="D154" s="2" t="s">
        <v>65</v>
      </c>
      <c r="E154" s="6">
        <f t="shared" si="2"/>
        <v>2</v>
      </c>
      <c r="F154" s="6" t="s">
        <v>30</v>
      </c>
      <c r="G154" s="6" t="s">
        <v>18</v>
      </c>
      <c r="H154" s="6" t="s">
        <v>37</v>
      </c>
      <c r="I154" s="6" t="s">
        <v>45</v>
      </c>
      <c r="K154" s="3" t="b">
        <f t="shared" si="3"/>
        <v>0</v>
      </c>
      <c r="L154" s="3">
        <v>1774.0</v>
      </c>
      <c r="N154" s="7">
        <v>19000.0</v>
      </c>
      <c r="O154" s="7">
        <f t="shared" si="21"/>
        <v>33706</v>
      </c>
    </row>
    <row r="155">
      <c r="A155" s="6">
        <v>2025.0</v>
      </c>
      <c r="B155" s="6" t="s">
        <v>82</v>
      </c>
      <c r="C155" s="1">
        <f t="shared" si="1"/>
        <v>3</v>
      </c>
      <c r="D155" s="2" t="s">
        <v>65</v>
      </c>
      <c r="E155" s="6">
        <f t="shared" si="2"/>
        <v>2</v>
      </c>
      <c r="F155" s="6" t="s">
        <v>30</v>
      </c>
      <c r="G155" s="6" t="s">
        <v>18</v>
      </c>
      <c r="H155" s="6" t="s">
        <v>37</v>
      </c>
      <c r="I155" s="6" t="s">
        <v>48</v>
      </c>
      <c r="K155" s="3" t="b">
        <f t="shared" si="3"/>
        <v>0</v>
      </c>
      <c r="L155" s="3">
        <v>1178.0</v>
      </c>
      <c r="N155" s="7">
        <v>18580.0</v>
      </c>
      <c r="O155" s="7">
        <f t="shared" si="21"/>
        <v>21887.24</v>
      </c>
    </row>
    <row r="156">
      <c r="A156" s="6">
        <v>2025.0</v>
      </c>
      <c r="B156" s="6" t="s">
        <v>82</v>
      </c>
      <c r="C156" s="1">
        <f t="shared" si="1"/>
        <v>3</v>
      </c>
      <c r="D156" s="2" t="s">
        <v>65</v>
      </c>
      <c r="E156" s="6">
        <f t="shared" si="2"/>
        <v>2</v>
      </c>
      <c r="F156" s="6" t="s">
        <v>30</v>
      </c>
      <c r="G156" s="6" t="s">
        <v>18</v>
      </c>
      <c r="H156" s="6" t="s">
        <v>37</v>
      </c>
      <c r="I156" s="6" t="s">
        <v>67</v>
      </c>
      <c r="K156" s="3" t="b">
        <f t="shared" si="3"/>
        <v>0</v>
      </c>
      <c r="L156" s="3">
        <v>1146.0</v>
      </c>
      <c r="N156" s="7">
        <v>19000.0</v>
      </c>
      <c r="O156" s="7">
        <f t="shared" si="21"/>
        <v>21774</v>
      </c>
    </row>
    <row r="157">
      <c r="A157" s="6">
        <v>2025.0</v>
      </c>
      <c r="B157" s="6" t="s">
        <v>82</v>
      </c>
      <c r="C157" s="1">
        <f t="shared" si="1"/>
        <v>3</v>
      </c>
      <c r="D157" s="2" t="s">
        <v>65</v>
      </c>
      <c r="E157" s="6">
        <f t="shared" si="2"/>
        <v>2</v>
      </c>
      <c r="F157" s="6" t="s">
        <v>30</v>
      </c>
      <c r="G157" s="6" t="s">
        <v>18</v>
      </c>
      <c r="H157" s="6" t="s">
        <v>37</v>
      </c>
      <c r="I157" s="6" t="s">
        <v>47</v>
      </c>
      <c r="K157" s="3" t="b">
        <f t="shared" si="3"/>
        <v>0</v>
      </c>
      <c r="L157" s="3">
        <v>1044.0</v>
      </c>
      <c r="N157" s="7">
        <v>31980.0</v>
      </c>
      <c r="O157" s="7">
        <f t="shared" si="21"/>
        <v>33387.12</v>
      </c>
    </row>
    <row r="158">
      <c r="A158" s="6">
        <v>2025.0</v>
      </c>
      <c r="B158" s="6" t="s">
        <v>82</v>
      </c>
      <c r="C158" s="1">
        <f t="shared" si="1"/>
        <v>3</v>
      </c>
      <c r="D158" s="2" t="s">
        <v>65</v>
      </c>
      <c r="E158" s="6">
        <f t="shared" si="2"/>
        <v>2</v>
      </c>
      <c r="F158" s="6" t="s">
        <v>30</v>
      </c>
      <c r="G158" s="6" t="s">
        <v>18</v>
      </c>
      <c r="H158" s="6" t="s">
        <v>37</v>
      </c>
      <c r="I158" s="6" t="s">
        <v>123</v>
      </c>
      <c r="K158" s="3" t="b">
        <f t="shared" si="3"/>
        <v>0</v>
      </c>
      <c r="L158" s="3">
        <v>1026.0</v>
      </c>
      <c r="N158" s="7">
        <v>26380.0</v>
      </c>
      <c r="O158" s="7">
        <f t="shared" si="21"/>
        <v>27065.88</v>
      </c>
    </row>
    <row r="159">
      <c r="A159" s="6">
        <v>2025.0</v>
      </c>
      <c r="B159" s="6" t="s">
        <v>124</v>
      </c>
      <c r="C159" s="1">
        <f t="shared" si="1"/>
        <v>4</v>
      </c>
      <c r="D159" s="2" t="s">
        <v>16</v>
      </c>
      <c r="E159" s="6">
        <f t="shared" si="2"/>
        <v>1</v>
      </c>
      <c r="F159" s="6" t="s">
        <v>17</v>
      </c>
      <c r="G159" s="6" t="s">
        <v>83</v>
      </c>
      <c r="H159" s="6" t="s">
        <v>89</v>
      </c>
      <c r="I159" s="6" t="s">
        <v>91</v>
      </c>
      <c r="K159" s="3" t="b">
        <f t="shared" si="3"/>
        <v>0</v>
      </c>
      <c r="L159" s="8"/>
      <c r="M159" s="6">
        <v>1.0</v>
      </c>
      <c r="N159" s="9">
        <v>4570.0</v>
      </c>
      <c r="O159" s="7">
        <f t="shared" ref="O159:O176" si="22">N159*M159</f>
        <v>4570</v>
      </c>
    </row>
    <row r="160">
      <c r="A160" s="6">
        <v>2025.0</v>
      </c>
      <c r="B160" s="6" t="s">
        <v>124</v>
      </c>
      <c r="C160" s="1">
        <f t="shared" si="1"/>
        <v>4</v>
      </c>
      <c r="D160" s="2" t="s">
        <v>16</v>
      </c>
      <c r="E160" s="6">
        <f t="shared" si="2"/>
        <v>1</v>
      </c>
      <c r="F160" s="6" t="s">
        <v>17</v>
      </c>
      <c r="G160" s="6" t="s">
        <v>83</v>
      </c>
      <c r="H160" s="6" t="s">
        <v>89</v>
      </c>
      <c r="I160" s="6" t="s">
        <v>99</v>
      </c>
      <c r="K160" s="3" t="b">
        <f t="shared" si="3"/>
        <v>0</v>
      </c>
      <c r="L160" s="3">
        <v>500.0</v>
      </c>
      <c r="M160" s="6">
        <v>1.0</v>
      </c>
      <c r="N160" s="9">
        <v>2600.0</v>
      </c>
      <c r="O160" s="7">
        <f t="shared" si="22"/>
        <v>2600</v>
      </c>
    </row>
    <row r="161">
      <c r="A161" s="6">
        <v>2025.0</v>
      </c>
      <c r="B161" s="6" t="s">
        <v>124</v>
      </c>
      <c r="C161" s="1">
        <f t="shared" si="1"/>
        <v>4</v>
      </c>
      <c r="D161" s="2" t="s">
        <v>16</v>
      </c>
      <c r="E161" s="6">
        <f t="shared" si="2"/>
        <v>1</v>
      </c>
      <c r="F161" s="6" t="s">
        <v>17</v>
      </c>
      <c r="G161" s="6" t="s">
        <v>18</v>
      </c>
      <c r="H161" s="6" t="s">
        <v>92</v>
      </c>
      <c r="I161" s="6" t="s">
        <v>125</v>
      </c>
      <c r="K161" s="3" t="b">
        <f t="shared" si="3"/>
        <v>0</v>
      </c>
      <c r="L161" s="8"/>
      <c r="M161" s="6">
        <v>1.0</v>
      </c>
      <c r="N161" s="10">
        <v>5990.0</v>
      </c>
      <c r="O161" s="7">
        <f t="shared" si="22"/>
        <v>5990</v>
      </c>
    </row>
    <row r="162">
      <c r="A162" s="6">
        <v>2025.0</v>
      </c>
      <c r="B162" s="6" t="s">
        <v>124</v>
      </c>
      <c r="C162" s="1">
        <f t="shared" si="1"/>
        <v>4</v>
      </c>
      <c r="D162" s="2" t="s">
        <v>16</v>
      </c>
      <c r="E162" s="6">
        <f t="shared" si="2"/>
        <v>1</v>
      </c>
      <c r="F162" s="6" t="s">
        <v>17</v>
      </c>
      <c r="G162" s="6" t="s">
        <v>79</v>
      </c>
      <c r="H162" s="6" t="s">
        <v>96</v>
      </c>
      <c r="I162" s="6" t="s">
        <v>126</v>
      </c>
      <c r="K162" s="3" t="b">
        <f t="shared" si="3"/>
        <v>0</v>
      </c>
      <c r="L162" s="8"/>
      <c r="M162" s="6">
        <v>1.0</v>
      </c>
      <c r="N162" s="10">
        <v>2900.0</v>
      </c>
      <c r="O162" s="7">
        <f t="shared" si="22"/>
        <v>2900</v>
      </c>
    </row>
    <row r="163">
      <c r="A163" s="6">
        <v>2025.0</v>
      </c>
      <c r="B163" s="6" t="s">
        <v>124</v>
      </c>
      <c r="C163" s="1">
        <f t="shared" si="1"/>
        <v>4</v>
      </c>
      <c r="D163" s="2" t="s">
        <v>16</v>
      </c>
      <c r="E163" s="6">
        <f t="shared" si="2"/>
        <v>1</v>
      </c>
      <c r="F163" s="6" t="s">
        <v>17</v>
      </c>
      <c r="G163" s="6" t="s">
        <v>83</v>
      </c>
      <c r="H163" s="6" t="s">
        <v>89</v>
      </c>
      <c r="I163" s="6" t="s">
        <v>127</v>
      </c>
      <c r="K163" s="3" t="b">
        <f t="shared" si="3"/>
        <v>0</v>
      </c>
      <c r="L163" s="8"/>
      <c r="M163" s="6">
        <v>1.0</v>
      </c>
      <c r="N163" s="7">
        <v>2790.0</v>
      </c>
      <c r="O163" s="7">
        <f t="shared" si="22"/>
        <v>2790</v>
      </c>
    </row>
    <row r="164">
      <c r="A164" s="6">
        <v>2025.0</v>
      </c>
      <c r="B164" s="6" t="s">
        <v>124</v>
      </c>
      <c r="C164" s="1">
        <f t="shared" si="1"/>
        <v>4</v>
      </c>
      <c r="D164" s="2" t="s">
        <v>16</v>
      </c>
      <c r="E164" s="6">
        <f t="shared" si="2"/>
        <v>1</v>
      </c>
      <c r="F164" s="6" t="s">
        <v>17</v>
      </c>
      <c r="G164" s="6" t="s">
        <v>18</v>
      </c>
      <c r="H164" s="6" t="s">
        <v>94</v>
      </c>
      <c r="I164" s="6" t="s">
        <v>95</v>
      </c>
      <c r="K164" s="3" t="b">
        <f t="shared" si="3"/>
        <v>1</v>
      </c>
      <c r="L164" s="8"/>
      <c r="M164" s="6">
        <v>1.0</v>
      </c>
      <c r="N164" s="10">
        <v>6450.0</v>
      </c>
      <c r="O164" s="7">
        <f t="shared" si="22"/>
        <v>6450</v>
      </c>
    </row>
    <row r="165">
      <c r="A165" s="6">
        <v>2025.0</v>
      </c>
      <c r="B165" s="6" t="s">
        <v>124</v>
      </c>
      <c r="C165" s="1">
        <f t="shared" si="1"/>
        <v>4</v>
      </c>
      <c r="D165" s="2" t="s">
        <v>16</v>
      </c>
      <c r="E165" s="6">
        <f t="shared" si="2"/>
        <v>1</v>
      </c>
      <c r="F165" s="6" t="s">
        <v>17</v>
      </c>
      <c r="G165" s="6" t="s">
        <v>18</v>
      </c>
      <c r="H165" s="6" t="s">
        <v>37</v>
      </c>
      <c r="I165" s="6" t="s">
        <v>87</v>
      </c>
      <c r="K165" s="3" t="b">
        <f t="shared" si="3"/>
        <v>0</v>
      </c>
      <c r="L165" s="8"/>
      <c r="M165" s="6">
        <v>2.0</v>
      </c>
      <c r="N165" s="10">
        <v>6990.0</v>
      </c>
      <c r="O165" s="7">
        <f t="shared" si="22"/>
        <v>13980</v>
      </c>
    </row>
    <row r="166">
      <c r="A166" s="6">
        <v>2025.0</v>
      </c>
      <c r="B166" s="6" t="s">
        <v>124</v>
      </c>
      <c r="C166" s="1">
        <f t="shared" si="1"/>
        <v>4</v>
      </c>
      <c r="D166" s="2" t="s">
        <v>16</v>
      </c>
      <c r="E166" s="6">
        <f t="shared" si="2"/>
        <v>1</v>
      </c>
      <c r="F166" s="6" t="s">
        <v>17</v>
      </c>
      <c r="G166" s="6" t="s">
        <v>18</v>
      </c>
      <c r="H166" s="6" t="s">
        <v>94</v>
      </c>
      <c r="I166" s="6" t="s">
        <v>128</v>
      </c>
      <c r="K166" s="3" t="b">
        <f t="shared" si="3"/>
        <v>0</v>
      </c>
      <c r="L166" s="8"/>
      <c r="M166" s="6">
        <v>1.0</v>
      </c>
      <c r="N166" s="7">
        <v>2100.0</v>
      </c>
      <c r="O166" s="7">
        <f t="shared" si="22"/>
        <v>2100</v>
      </c>
    </row>
    <row r="167">
      <c r="A167" s="6">
        <v>2025.0</v>
      </c>
      <c r="B167" s="6" t="s">
        <v>124</v>
      </c>
      <c r="C167" s="1">
        <f t="shared" si="1"/>
        <v>4</v>
      </c>
      <c r="D167" s="2" t="s">
        <v>16</v>
      </c>
      <c r="E167" s="6">
        <f t="shared" si="2"/>
        <v>1</v>
      </c>
      <c r="F167" s="6" t="s">
        <v>17</v>
      </c>
      <c r="G167" s="6" t="s">
        <v>83</v>
      </c>
      <c r="H167" s="6" t="s">
        <v>80</v>
      </c>
      <c r="I167" s="6" t="s">
        <v>84</v>
      </c>
      <c r="K167" s="3" t="b">
        <f t="shared" si="3"/>
        <v>0</v>
      </c>
      <c r="L167" s="8"/>
      <c r="M167" s="6">
        <v>1.0</v>
      </c>
      <c r="N167" s="9">
        <v>2200.0</v>
      </c>
      <c r="O167" s="7">
        <f t="shared" si="22"/>
        <v>2200</v>
      </c>
    </row>
    <row r="168">
      <c r="A168" s="6">
        <v>2025.0</v>
      </c>
      <c r="B168" s="6" t="s">
        <v>124</v>
      </c>
      <c r="C168" s="1">
        <f t="shared" si="1"/>
        <v>4</v>
      </c>
      <c r="D168" s="2" t="s">
        <v>16</v>
      </c>
      <c r="E168" s="6">
        <f t="shared" si="2"/>
        <v>1</v>
      </c>
      <c r="F168" s="6" t="s">
        <v>17</v>
      </c>
      <c r="G168" s="6" t="s">
        <v>18</v>
      </c>
      <c r="H168" s="6" t="s">
        <v>94</v>
      </c>
      <c r="I168" s="6" t="s">
        <v>95</v>
      </c>
      <c r="K168" s="3" t="b">
        <f t="shared" si="3"/>
        <v>1</v>
      </c>
      <c r="L168" s="8"/>
      <c r="M168" s="6">
        <v>1.0</v>
      </c>
      <c r="N168" s="7">
        <v>4950.0</v>
      </c>
      <c r="O168" s="7">
        <f t="shared" si="22"/>
        <v>4950</v>
      </c>
    </row>
    <row r="169">
      <c r="A169" s="6">
        <v>2025.0</v>
      </c>
      <c r="B169" s="6" t="s">
        <v>124</v>
      </c>
      <c r="C169" s="1">
        <f t="shared" si="1"/>
        <v>4</v>
      </c>
      <c r="D169" s="2" t="s">
        <v>16</v>
      </c>
      <c r="E169" s="6">
        <f t="shared" si="2"/>
        <v>1</v>
      </c>
      <c r="F169" s="6" t="s">
        <v>17</v>
      </c>
      <c r="G169" s="6" t="s">
        <v>18</v>
      </c>
      <c r="H169" s="6" t="s">
        <v>76</v>
      </c>
      <c r="I169" s="6" t="s">
        <v>120</v>
      </c>
      <c r="K169" s="3" t="b">
        <f t="shared" si="3"/>
        <v>0</v>
      </c>
      <c r="L169" s="8"/>
      <c r="M169" s="6">
        <v>2.0</v>
      </c>
      <c r="N169" s="10">
        <v>3400.0</v>
      </c>
      <c r="O169" s="7">
        <f t="shared" si="22"/>
        <v>6800</v>
      </c>
    </row>
    <row r="170">
      <c r="A170" s="6">
        <v>2025.0</v>
      </c>
      <c r="B170" s="6" t="s">
        <v>124</v>
      </c>
      <c r="C170" s="1">
        <f t="shared" si="1"/>
        <v>4</v>
      </c>
      <c r="D170" s="2" t="s">
        <v>16</v>
      </c>
      <c r="E170" s="6">
        <f t="shared" si="2"/>
        <v>1</v>
      </c>
      <c r="F170" s="6" t="s">
        <v>17</v>
      </c>
      <c r="G170" s="6" t="s">
        <v>18</v>
      </c>
      <c r="H170" s="6" t="s">
        <v>92</v>
      </c>
      <c r="I170" s="6" t="s">
        <v>93</v>
      </c>
      <c r="K170" s="3" t="b">
        <f t="shared" si="3"/>
        <v>0</v>
      </c>
      <c r="L170" s="8"/>
      <c r="M170" s="6">
        <v>3.0</v>
      </c>
      <c r="N170" s="7">
        <v>1990.0</v>
      </c>
      <c r="O170" s="7">
        <f t="shared" si="22"/>
        <v>5970</v>
      </c>
    </row>
    <row r="171">
      <c r="A171" s="6">
        <v>2025.0</v>
      </c>
      <c r="B171" s="6" t="s">
        <v>124</v>
      </c>
      <c r="C171" s="1">
        <f t="shared" si="1"/>
        <v>4</v>
      </c>
      <c r="D171" s="2" t="s">
        <v>16</v>
      </c>
      <c r="E171" s="6">
        <f t="shared" si="2"/>
        <v>1</v>
      </c>
      <c r="F171" s="6" t="s">
        <v>17</v>
      </c>
      <c r="G171" s="6" t="s">
        <v>18</v>
      </c>
      <c r="H171" s="6" t="s">
        <v>37</v>
      </c>
      <c r="I171" s="6" t="s">
        <v>117</v>
      </c>
      <c r="K171" s="3" t="b">
        <f t="shared" si="3"/>
        <v>0</v>
      </c>
      <c r="L171" s="8"/>
      <c r="M171" s="6">
        <v>1.0</v>
      </c>
      <c r="N171" s="10">
        <v>8990.0</v>
      </c>
      <c r="O171" s="7">
        <f t="shared" si="22"/>
        <v>8990</v>
      </c>
    </row>
    <row r="172">
      <c r="A172" s="6">
        <v>2025.0</v>
      </c>
      <c r="B172" s="6" t="s">
        <v>124</v>
      </c>
      <c r="C172" s="1">
        <f t="shared" si="1"/>
        <v>4</v>
      </c>
      <c r="D172" s="2" t="s">
        <v>16</v>
      </c>
      <c r="E172" s="6">
        <f t="shared" si="2"/>
        <v>1</v>
      </c>
      <c r="F172" s="6" t="s">
        <v>17</v>
      </c>
      <c r="G172" s="6" t="s">
        <v>18</v>
      </c>
      <c r="H172" s="6" t="s">
        <v>27</v>
      </c>
      <c r="I172" s="6" t="s">
        <v>101</v>
      </c>
      <c r="K172" s="3" t="b">
        <f t="shared" si="3"/>
        <v>0</v>
      </c>
      <c r="L172" s="8"/>
      <c r="M172" s="6">
        <v>1.0</v>
      </c>
      <c r="N172" s="9">
        <v>4750.0</v>
      </c>
      <c r="O172" s="7">
        <f t="shared" si="22"/>
        <v>4750</v>
      </c>
    </row>
    <row r="173">
      <c r="A173" s="6">
        <v>2025.0</v>
      </c>
      <c r="B173" s="6" t="s">
        <v>124</v>
      </c>
      <c r="C173" s="1">
        <f t="shared" si="1"/>
        <v>4</v>
      </c>
      <c r="D173" s="2" t="s">
        <v>16</v>
      </c>
      <c r="E173" s="6">
        <f t="shared" si="2"/>
        <v>1</v>
      </c>
      <c r="F173" s="6" t="s">
        <v>17</v>
      </c>
      <c r="G173" s="6" t="s">
        <v>18</v>
      </c>
      <c r="H173" s="6" t="s">
        <v>94</v>
      </c>
      <c r="I173" s="6" t="s">
        <v>103</v>
      </c>
      <c r="K173" s="3" t="b">
        <f t="shared" si="3"/>
        <v>0</v>
      </c>
      <c r="L173" s="8"/>
      <c r="M173" s="6">
        <v>3.0</v>
      </c>
      <c r="N173" s="7">
        <v>1950.0</v>
      </c>
      <c r="O173" s="7">
        <f t="shared" si="22"/>
        <v>5850</v>
      </c>
    </row>
    <row r="174">
      <c r="A174" s="6">
        <v>2025.0</v>
      </c>
      <c r="B174" s="6" t="s">
        <v>124</v>
      </c>
      <c r="C174" s="1">
        <f t="shared" si="1"/>
        <v>4</v>
      </c>
      <c r="D174" s="2" t="s">
        <v>16</v>
      </c>
      <c r="E174" s="6">
        <f t="shared" si="2"/>
        <v>1</v>
      </c>
      <c r="F174" s="6" t="s">
        <v>17</v>
      </c>
      <c r="G174" s="6" t="s">
        <v>18</v>
      </c>
      <c r="H174" s="6" t="s">
        <v>19</v>
      </c>
      <c r="I174" s="6" t="s">
        <v>104</v>
      </c>
      <c r="K174" s="3" t="b">
        <f t="shared" si="3"/>
        <v>0</v>
      </c>
      <c r="L174" s="8"/>
      <c r="M174" s="6">
        <v>1.0</v>
      </c>
      <c r="N174" s="7">
        <v>7990.0</v>
      </c>
      <c r="O174" s="7">
        <f t="shared" si="22"/>
        <v>7990</v>
      </c>
    </row>
    <row r="175">
      <c r="A175" s="6">
        <v>2025.0</v>
      </c>
      <c r="B175" s="6" t="s">
        <v>124</v>
      </c>
      <c r="C175" s="1">
        <f t="shared" si="1"/>
        <v>4</v>
      </c>
      <c r="D175" s="2" t="s">
        <v>16</v>
      </c>
      <c r="E175" s="6">
        <f t="shared" si="2"/>
        <v>1</v>
      </c>
      <c r="F175" s="6" t="s">
        <v>17</v>
      </c>
      <c r="G175" s="6" t="s">
        <v>18</v>
      </c>
      <c r="H175" s="6" t="s">
        <v>94</v>
      </c>
      <c r="I175" s="6" t="s">
        <v>119</v>
      </c>
      <c r="K175" s="3" t="b">
        <f t="shared" si="3"/>
        <v>0</v>
      </c>
      <c r="L175" s="8"/>
      <c r="M175" s="6">
        <v>1.0</v>
      </c>
      <c r="N175" s="10">
        <v>4950.0</v>
      </c>
      <c r="O175" s="7">
        <f t="shared" si="22"/>
        <v>4950</v>
      </c>
    </row>
    <row r="176">
      <c r="A176" s="6">
        <v>2025.0</v>
      </c>
      <c r="B176" s="6" t="s">
        <v>124</v>
      </c>
      <c r="C176" s="1">
        <f t="shared" si="1"/>
        <v>4</v>
      </c>
      <c r="D176" s="2" t="s">
        <v>16</v>
      </c>
      <c r="E176" s="6">
        <f t="shared" si="2"/>
        <v>1</v>
      </c>
      <c r="F176" s="6" t="s">
        <v>30</v>
      </c>
      <c r="G176" s="6" t="s">
        <v>18</v>
      </c>
      <c r="H176" s="6" t="s">
        <v>19</v>
      </c>
      <c r="I176" s="6" t="s">
        <v>129</v>
      </c>
      <c r="K176" s="3" t="b">
        <f t="shared" si="3"/>
        <v>0</v>
      </c>
      <c r="L176" s="3">
        <v>1100.0</v>
      </c>
      <c r="M176" s="6">
        <v>1.0</v>
      </c>
      <c r="N176" s="7">
        <v>27600.0</v>
      </c>
      <c r="O176" s="7">
        <f t="shared" si="22"/>
        <v>27600</v>
      </c>
    </row>
    <row r="177">
      <c r="A177" s="6">
        <v>2025.0</v>
      </c>
      <c r="B177" s="6" t="s">
        <v>124</v>
      </c>
      <c r="C177" s="1">
        <f t="shared" si="1"/>
        <v>4</v>
      </c>
      <c r="D177" s="2" t="s">
        <v>16</v>
      </c>
      <c r="E177" s="6">
        <f t="shared" si="2"/>
        <v>1</v>
      </c>
      <c r="F177" s="6" t="s">
        <v>30</v>
      </c>
      <c r="G177" s="6" t="s">
        <v>18</v>
      </c>
      <c r="H177" s="6" t="s">
        <v>49</v>
      </c>
      <c r="I177" s="6" t="s">
        <v>71</v>
      </c>
      <c r="K177" s="3" t="b">
        <f t="shared" si="3"/>
        <v>0</v>
      </c>
      <c r="L177" s="3">
        <v>700.0</v>
      </c>
      <c r="N177" s="7">
        <v>7200.0</v>
      </c>
      <c r="O177" s="7">
        <f t="shared" ref="O177:O185" si="23">N177*L177/1000</f>
        <v>5040</v>
      </c>
    </row>
    <row r="178">
      <c r="A178" s="6">
        <v>2025.0</v>
      </c>
      <c r="B178" s="6" t="s">
        <v>124</v>
      </c>
      <c r="C178" s="1">
        <f t="shared" si="1"/>
        <v>4</v>
      </c>
      <c r="D178" s="2" t="s">
        <v>16</v>
      </c>
      <c r="E178" s="6">
        <f t="shared" si="2"/>
        <v>1</v>
      </c>
      <c r="F178" s="6" t="s">
        <v>30</v>
      </c>
      <c r="G178" s="6" t="s">
        <v>18</v>
      </c>
      <c r="H178" s="6" t="s">
        <v>49</v>
      </c>
      <c r="I178" s="6" t="s">
        <v>58</v>
      </c>
      <c r="K178" s="3" t="b">
        <f t="shared" si="3"/>
        <v>0</v>
      </c>
      <c r="L178" s="3">
        <v>980.0</v>
      </c>
      <c r="N178" s="7">
        <v>3700.0</v>
      </c>
      <c r="O178" s="7">
        <f t="shared" si="23"/>
        <v>3626</v>
      </c>
    </row>
    <row r="179">
      <c r="A179" s="6">
        <v>2025.0</v>
      </c>
      <c r="B179" s="6" t="s">
        <v>124</v>
      </c>
      <c r="C179" s="1">
        <f t="shared" si="1"/>
        <v>4</v>
      </c>
      <c r="D179" s="2" t="s">
        <v>16</v>
      </c>
      <c r="E179" s="6">
        <f t="shared" si="2"/>
        <v>1</v>
      </c>
      <c r="F179" s="6" t="s">
        <v>30</v>
      </c>
      <c r="G179" s="6" t="s">
        <v>18</v>
      </c>
      <c r="H179" s="6" t="s">
        <v>37</v>
      </c>
      <c r="I179" s="6" t="s">
        <v>47</v>
      </c>
      <c r="K179" s="3" t="b">
        <f t="shared" si="3"/>
        <v>0</v>
      </c>
      <c r="L179" s="3">
        <v>1198.0</v>
      </c>
      <c r="N179" s="7">
        <v>31980.0</v>
      </c>
      <c r="O179" s="7">
        <f t="shared" si="23"/>
        <v>38312.04</v>
      </c>
    </row>
    <row r="180">
      <c r="A180" s="6">
        <v>2025.0</v>
      </c>
      <c r="B180" s="6" t="s">
        <v>124</v>
      </c>
      <c r="C180" s="1">
        <f t="shared" si="1"/>
        <v>4</v>
      </c>
      <c r="D180" s="2" t="s">
        <v>16</v>
      </c>
      <c r="E180" s="6">
        <f t="shared" si="2"/>
        <v>1</v>
      </c>
      <c r="F180" s="6" t="s">
        <v>30</v>
      </c>
      <c r="G180" s="6" t="s">
        <v>18</v>
      </c>
      <c r="H180" s="6" t="s">
        <v>37</v>
      </c>
      <c r="I180" s="6" t="s">
        <v>123</v>
      </c>
      <c r="K180" s="3" t="b">
        <f t="shared" si="3"/>
        <v>0</v>
      </c>
      <c r="L180" s="3">
        <v>2374.0</v>
      </c>
      <c r="N180" s="7">
        <v>26380.0</v>
      </c>
      <c r="O180" s="7">
        <f t="shared" si="23"/>
        <v>62626.12</v>
      </c>
    </row>
    <row r="181">
      <c r="A181" s="6">
        <v>2025.0</v>
      </c>
      <c r="B181" s="6" t="s">
        <v>124</v>
      </c>
      <c r="C181" s="1">
        <f t="shared" si="1"/>
        <v>4</v>
      </c>
      <c r="D181" s="2" t="s">
        <v>16</v>
      </c>
      <c r="E181" s="6">
        <f t="shared" si="2"/>
        <v>1</v>
      </c>
      <c r="F181" s="6" t="s">
        <v>30</v>
      </c>
      <c r="G181" s="6" t="s">
        <v>18</v>
      </c>
      <c r="H181" s="6" t="s">
        <v>49</v>
      </c>
      <c r="I181" s="6" t="s">
        <v>63</v>
      </c>
      <c r="K181" s="3" t="b">
        <f t="shared" si="3"/>
        <v>0</v>
      </c>
      <c r="L181" s="3">
        <v>2655.0</v>
      </c>
      <c r="N181" s="7">
        <v>1980.0</v>
      </c>
      <c r="O181" s="7">
        <f t="shared" si="23"/>
        <v>5256.9</v>
      </c>
    </row>
    <row r="182">
      <c r="A182" s="6">
        <v>2025.0</v>
      </c>
      <c r="B182" s="6" t="s">
        <v>124</v>
      </c>
      <c r="C182" s="1">
        <f t="shared" si="1"/>
        <v>4</v>
      </c>
      <c r="D182" s="2" t="s">
        <v>16</v>
      </c>
      <c r="E182" s="6">
        <f t="shared" si="2"/>
        <v>1</v>
      </c>
      <c r="F182" s="6" t="s">
        <v>30</v>
      </c>
      <c r="G182" s="6" t="s">
        <v>18</v>
      </c>
      <c r="H182" s="6" t="s">
        <v>49</v>
      </c>
      <c r="I182" s="6" t="s">
        <v>57</v>
      </c>
      <c r="K182" s="3" t="b">
        <f t="shared" si="3"/>
        <v>0</v>
      </c>
      <c r="L182" s="3">
        <v>2205.0</v>
      </c>
      <c r="N182" s="7">
        <v>1580.0</v>
      </c>
      <c r="O182" s="7">
        <f t="shared" si="23"/>
        <v>3483.9</v>
      </c>
    </row>
    <row r="183">
      <c r="A183" s="6">
        <v>2025.0</v>
      </c>
      <c r="B183" s="6" t="s">
        <v>124</v>
      </c>
      <c r="C183" s="1">
        <f t="shared" si="1"/>
        <v>4</v>
      </c>
      <c r="D183" s="2" t="s">
        <v>16</v>
      </c>
      <c r="E183" s="6">
        <f t="shared" si="2"/>
        <v>1</v>
      </c>
      <c r="F183" s="6" t="s">
        <v>30</v>
      </c>
      <c r="G183" s="6" t="s">
        <v>18</v>
      </c>
      <c r="H183" s="6" t="s">
        <v>49</v>
      </c>
      <c r="I183" s="6" t="s">
        <v>72</v>
      </c>
      <c r="K183" s="3" t="b">
        <f t="shared" si="3"/>
        <v>0</v>
      </c>
      <c r="L183" s="3">
        <v>1045.0</v>
      </c>
      <c r="N183" s="7">
        <v>7800.0</v>
      </c>
      <c r="O183" s="7">
        <f t="shared" si="23"/>
        <v>8151</v>
      </c>
    </row>
    <row r="184">
      <c r="A184" s="6">
        <v>2025.0</v>
      </c>
      <c r="B184" s="6" t="s">
        <v>124</v>
      </c>
      <c r="C184" s="1">
        <f t="shared" si="1"/>
        <v>4</v>
      </c>
      <c r="D184" s="2" t="s">
        <v>16</v>
      </c>
      <c r="E184" s="6">
        <f t="shared" si="2"/>
        <v>1</v>
      </c>
      <c r="F184" s="6" t="s">
        <v>30</v>
      </c>
      <c r="G184" s="6" t="s">
        <v>18</v>
      </c>
      <c r="H184" s="6" t="s">
        <v>33</v>
      </c>
      <c r="I184" s="6" t="s">
        <v>34</v>
      </c>
      <c r="K184" s="3" t="b">
        <f t="shared" si="3"/>
        <v>0</v>
      </c>
      <c r="L184" s="3">
        <v>1320.0</v>
      </c>
      <c r="N184" s="7">
        <v>9000.0</v>
      </c>
      <c r="O184" s="7">
        <f t="shared" si="23"/>
        <v>11880</v>
      </c>
    </row>
    <row r="185">
      <c r="A185" s="6">
        <v>2025.0</v>
      </c>
      <c r="B185" s="6" t="s">
        <v>124</v>
      </c>
      <c r="C185" s="1">
        <f t="shared" si="1"/>
        <v>4</v>
      </c>
      <c r="D185" s="2" t="s">
        <v>16</v>
      </c>
      <c r="E185" s="6">
        <f t="shared" si="2"/>
        <v>1</v>
      </c>
      <c r="F185" s="6" t="s">
        <v>30</v>
      </c>
      <c r="G185" s="6" t="s">
        <v>18</v>
      </c>
      <c r="H185" s="6" t="s">
        <v>49</v>
      </c>
      <c r="I185" s="6" t="s">
        <v>109</v>
      </c>
      <c r="K185" s="3" t="b">
        <f t="shared" si="3"/>
        <v>1</v>
      </c>
      <c r="L185" s="3">
        <v>1120.0</v>
      </c>
      <c r="N185" s="7">
        <v>2780.0</v>
      </c>
      <c r="O185" s="7">
        <f t="shared" si="23"/>
        <v>3113.6</v>
      </c>
    </row>
    <row r="186">
      <c r="A186" s="6">
        <v>2025.0</v>
      </c>
      <c r="B186" s="6" t="s">
        <v>124</v>
      </c>
      <c r="C186" s="1">
        <f t="shared" si="1"/>
        <v>4</v>
      </c>
      <c r="D186" s="2" t="s">
        <v>16</v>
      </c>
      <c r="E186" s="6">
        <f t="shared" si="2"/>
        <v>1</v>
      </c>
      <c r="F186" s="6" t="s">
        <v>30</v>
      </c>
      <c r="G186" s="6" t="s">
        <v>18</v>
      </c>
      <c r="H186" s="6" t="s">
        <v>52</v>
      </c>
      <c r="I186" s="6" t="s">
        <v>55</v>
      </c>
      <c r="K186" s="3" t="b">
        <f t="shared" si="3"/>
        <v>0</v>
      </c>
      <c r="L186" s="3">
        <v>500.0</v>
      </c>
      <c r="M186" s="6">
        <v>1.0</v>
      </c>
      <c r="N186" s="7">
        <v>3590.0</v>
      </c>
      <c r="O186" s="7">
        <f t="shared" ref="O186:O190" si="24">N186*M186</f>
        <v>3590</v>
      </c>
    </row>
    <row r="187">
      <c r="A187" s="6">
        <v>2025.0</v>
      </c>
      <c r="B187" s="6" t="s">
        <v>124</v>
      </c>
      <c r="C187" s="1">
        <f t="shared" si="1"/>
        <v>4</v>
      </c>
      <c r="D187" s="2" t="s">
        <v>16</v>
      </c>
      <c r="E187" s="6">
        <f t="shared" si="2"/>
        <v>1</v>
      </c>
      <c r="F187" s="6" t="s">
        <v>30</v>
      </c>
      <c r="G187" s="6" t="s">
        <v>18</v>
      </c>
      <c r="H187" s="6" t="s">
        <v>52</v>
      </c>
      <c r="I187" s="6" t="s">
        <v>54</v>
      </c>
      <c r="K187" s="3" t="b">
        <f t="shared" si="3"/>
        <v>0</v>
      </c>
      <c r="L187" s="3">
        <v>500.0</v>
      </c>
      <c r="M187" s="6">
        <v>1.0</v>
      </c>
      <c r="N187" s="7">
        <v>4150.0</v>
      </c>
      <c r="O187" s="7">
        <f t="shared" si="24"/>
        <v>4150</v>
      </c>
    </row>
    <row r="188">
      <c r="A188" s="6">
        <v>2025.0</v>
      </c>
      <c r="B188" s="6" t="s">
        <v>124</v>
      </c>
      <c r="C188" s="1">
        <f t="shared" si="1"/>
        <v>4</v>
      </c>
      <c r="D188" s="2" t="s">
        <v>16</v>
      </c>
      <c r="E188" s="6">
        <f t="shared" si="2"/>
        <v>1</v>
      </c>
      <c r="F188" s="6" t="s">
        <v>30</v>
      </c>
      <c r="G188" s="6" t="s">
        <v>18</v>
      </c>
      <c r="H188" s="6" t="s">
        <v>52</v>
      </c>
      <c r="I188" s="6" t="s">
        <v>130</v>
      </c>
      <c r="K188" s="3" t="b">
        <f t="shared" si="3"/>
        <v>0</v>
      </c>
      <c r="L188" s="3">
        <v>500.0</v>
      </c>
      <c r="M188" s="6">
        <v>1.0</v>
      </c>
      <c r="N188" s="7">
        <v>3190.0</v>
      </c>
      <c r="O188" s="7">
        <f t="shared" si="24"/>
        <v>3190</v>
      </c>
    </row>
    <row r="189">
      <c r="A189" s="6">
        <v>2025.0</v>
      </c>
      <c r="B189" s="6" t="s">
        <v>124</v>
      </c>
      <c r="C189" s="1">
        <f t="shared" si="1"/>
        <v>4</v>
      </c>
      <c r="D189" s="2" t="s">
        <v>16</v>
      </c>
      <c r="E189" s="6">
        <f t="shared" si="2"/>
        <v>1</v>
      </c>
      <c r="F189" s="6" t="s">
        <v>30</v>
      </c>
      <c r="G189" s="6" t="s">
        <v>18</v>
      </c>
      <c r="H189" s="6" t="s">
        <v>24</v>
      </c>
      <c r="I189" s="6" t="s">
        <v>25</v>
      </c>
      <c r="K189" s="3" t="b">
        <f t="shared" si="3"/>
        <v>0</v>
      </c>
      <c r="L189" s="3">
        <v>440.0</v>
      </c>
      <c r="M189" s="6">
        <v>1.0</v>
      </c>
      <c r="N189" s="7">
        <v>18990.0</v>
      </c>
      <c r="O189" s="7">
        <f t="shared" si="24"/>
        <v>18990</v>
      </c>
    </row>
    <row r="190">
      <c r="A190" s="6">
        <v>2025.0</v>
      </c>
      <c r="B190" s="6" t="s">
        <v>124</v>
      </c>
      <c r="C190" s="1">
        <f t="shared" si="1"/>
        <v>4</v>
      </c>
      <c r="D190" s="2" t="s">
        <v>16</v>
      </c>
      <c r="E190" s="6">
        <f t="shared" si="2"/>
        <v>1</v>
      </c>
      <c r="F190" s="6" t="s">
        <v>30</v>
      </c>
      <c r="G190" s="6" t="s">
        <v>18</v>
      </c>
      <c r="H190" s="6" t="s">
        <v>31</v>
      </c>
      <c r="I190" s="6" t="s">
        <v>32</v>
      </c>
      <c r="K190" s="3" t="b">
        <f t="shared" si="3"/>
        <v>0</v>
      </c>
      <c r="L190" s="3">
        <v>900.0</v>
      </c>
      <c r="M190" s="6">
        <v>1.0</v>
      </c>
      <c r="N190" s="7">
        <v>7200.0</v>
      </c>
      <c r="O190" s="7">
        <f t="shared" si="24"/>
        <v>7200</v>
      </c>
    </row>
    <row r="191">
      <c r="A191" s="6">
        <v>2025.0</v>
      </c>
      <c r="B191" s="6" t="s">
        <v>124</v>
      </c>
      <c r="C191" s="1">
        <f t="shared" si="1"/>
        <v>4</v>
      </c>
      <c r="D191" s="2" t="s">
        <v>16</v>
      </c>
      <c r="E191" s="6">
        <f t="shared" si="2"/>
        <v>1</v>
      </c>
      <c r="F191" s="6" t="s">
        <v>30</v>
      </c>
      <c r="G191" s="6" t="s">
        <v>18</v>
      </c>
      <c r="H191" s="6" t="s">
        <v>49</v>
      </c>
      <c r="I191" s="6" t="s">
        <v>74</v>
      </c>
      <c r="K191" s="3" t="b">
        <f t="shared" si="3"/>
        <v>0</v>
      </c>
      <c r="L191" s="3">
        <v>2340.0</v>
      </c>
      <c r="N191" s="7">
        <v>1980.0</v>
      </c>
      <c r="O191" s="7">
        <f t="shared" ref="O191:O202" si="25">N191*L191/1000</f>
        <v>4633.2</v>
      </c>
    </row>
    <row r="192">
      <c r="A192" s="6">
        <v>2025.0</v>
      </c>
      <c r="B192" s="6" t="s">
        <v>124</v>
      </c>
      <c r="C192" s="1">
        <f t="shared" si="1"/>
        <v>4</v>
      </c>
      <c r="D192" s="2" t="s">
        <v>16</v>
      </c>
      <c r="E192" s="6">
        <f t="shared" si="2"/>
        <v>1</v>
      </c>
      <c r="F192" s="6" t="s">
        <v>30</v>
      </c>
      <c r="G192" s="6" t="s">
        <v>18</v>
      </c>
      <c r="H192" s="6" t="s">
        <v>49</v>
      </c>
      <c r="I192" s="6" t="s">
        <v>61</v>
      </c>
      <c r="K192" s="3" t="b">
        <f t="shared" si="3"/>
        <v>0</v>
      </c>
      <c r="L192" s="3">
        <v>725.0</v>
      </c>
      <c r="N192" s="7">
        <v>3100.0</v>
      </c>
      <c r="O192" s="7">
        <f t="shared" si="25"/>
        <v>2247.5</v>
      </c>
    </row>
    <row r="193">
      <c r="A193" s="6">
        <v>2025.0</v>
      </c>
      <c r="B193" s="6" t="s">
        <v>124</v>
      </c>
      <c r="C193" s="1">
        <f t="shared" si="1"/>
        <v>4</v>
      </c>
      <c r="D193" s="2" t="s">
        <v>16</v>
      </c>
      <c r="E193" s="6">
        <f t="shared" si="2"/>
        <v>1</v>
      </c>
      <c r="F193" s="6" t="s">
        <v>30</v>
      </c>
      <c r="G193" s="6" t="s">
        <v>18</v>
      </c>
      <c r="H193" s="6" t="s">
        <v>49</v>
      </c>
      <c r="I193" s="6" t="s">
        <v>121</v>
      </c>
      <c r="K193" s="3" t="b">
        <f t="shared" si="3"/>
        <v>0</v>
      </c>
      <c r="L193" s="3">
        <v>1270.0</v>
      </c>
      <c r="N193" s="7">
        <v>3580.0</v>
      </c>
      <c r="O193" s="7">
        <f t="shared" si="25"/>
        <v>4546.6</v>
      </c>
    </row>
    <row r="194">
      <c r="A194" s="6">
        <v>2025.0</v>
      </c>
      <c r="B194" s="6" t="s">
        <v>124</v>
      </c>
      <c r="C194" s="1">
        <f t="shared" si="1"/>
        <v>4</v>
      </c>
      <c r="D194" s="2" t="s">
        <v>16</v>
      </c>
      <c r="E194" s="6">
        <f t="shared" si="2"/>
        <v>1</v>
      </c>
      <c r="F194" s="6" t="s">
        <v>30</v>
      </c>
      <c r="G194" s="6" t="s">
        <v>18</v>
      </c>
      <c r="H194" s="6" t="s">
        <v>37</v>
      </c>
      <c r="I194" s="6" t="s">
        <v>45</v>
      </c>
      <c r="K194" s="3" t="b">
        <f t="shared" si="3"/>
        <v>0</v>
      </c>
      <c r="L194" s="3">
        <v>880.0</v>
      </c>
      <c r="N194" s="7">
        <v>17800.0</v>
      </c>
      <c r="O194" s="7">
        <f t="shared" si="25"/>
        <v>15664</v>
      </c>
    </row>
    <row r="195">
      <c r="A195" s="6">
        <v>2025.0</v>
      </c>
      <c r="B195" s="6" t="s">
        <v>124</v>
      </c>
      <c r="C195" s="1">
        <f t="shared" si="1"/>
        <v>4</v>
      </c>
      <c r="D195" s="2" t="s">
        <v>16</v>
      </c>
      <c r="E195" s="6">
        <f t="shared" si="2"/>
        <v>1</v>
      </c>
      <c r="F195" s="6" t="s">
        <v>30</v>
      </c>
      <c r="G195" s="6" t="s">
        <v>18</v>
      </c>
      <c r="H195" s="6" t="s">
        <v>37</v>
      </c>
      <c r="I195" s="6" t="s">
        <v>67</v>
      </c>
      <c r="K195" s="3" t="b">
        <f t="shared" si="3"/>
        <v>0</v>
      </c>
      <c r="L195" s="3">
        <v>1102.0</v>
      </c>
      <c r="N195" s="7">
        <v>17400.0</v>
      </c>
      <c r="O195" s="7">
        <f t="shared" si="25"/>
        <v>19174.8</v>
      </c>
    </row>
    <row r="196">
      <c r="A196" s="6">
        <v>2025.0</v>
      </c>
      <c r="B196" s="6" t="s">
        <v>124</v>
      </c>
      <c r="C196" s="1">
        <f t="shared" si="1"/>
        <v>4</v>
      </c>
      <c r="D196" s="2" t="s">
        <v>16</v>
      </c>
      <c r="E196" s="6">
        <f t="shared" si="2"/>
        <v>1</v>
      </c>
      <c r="F196" s="6" t="s">
        <v>30</v>
      </c>
      <c r="G196" s="6" t="s">
        <v>18</v>
      </c>
      <c r="H196" s="6" t="s">
        <v>37</v>
      </c>
      <c r="I196" s="6" t="s">
        <v>68</v>
      </c>
      <c r="K196" s="3" t="b">
        <f t="shared" si="3"/>
        <v>0</v>
      </c>
      <c r="L196" s="3">
        <v>818.0</v>
      </c>
      <c r="N196" s="7">
        <v>25980.0</v>
      </c>
      <c r="O196" s="7">
        <f t="shared" si="25"/>
        <v>21251.64</v>
      </c>
    </row>
    <row r="197">
      <c r="A197" s="6">
        <v>2025.0</v>
      </c>
      <c r="B197" s="6" t="s">
        <v>124</v>
      </c>
      <c r="C197" s="1">
        <f t="shared" si="1"/>
        <v>4</v>
      </c>
      <c r="D197" s="2" t="s">
        <v>16</v>
      </c>
      <c r="E197" s="6">
        <f t="shared" si="2"/>
        <v>1</v>
      </c>
      <c r="F197" s="6" t="s">
        <v>30</v>
      </c>
      <c r="G197" s="6" t="s">
        <v>18</v>
      </c>
      <c r="H197" s="6" t="s">
        <v>37</v>
      </c>
      <c r="I197" s="6" t="s">
        <v>60</v>
      </c>
      <c r="K197" s="3" t="b">
        <f t="shared" si="3"/>
        <v>0</v>
      </c>
      <c r="L197" s="3">
        <v>3125.0</v>
      </c>
      <c r="N197" s="7">
        <v>7980.0</v>
      </c>
      <c r="O197" s="7">
        <f t="shared" si="25"/>
        <v>24937.5</v>
      </c>
    </row>
    <row r="198">
      <c r="A198" s="6">
        <v>2025.0</v>
      </c>
      <c r="B198" s="6" t="s">
        <v>124</v>
      </c>
      <c r="C198" s="1">
        <f t="shared" si="1"/>
        <v>4</v>
      </c>
      <c r="D198" s="2" t="s">
        <v>16</v>
      </c>
      <c r="E198" s="6">
        <f t="shared" si="2"/>
        <v>1</v>
      </c>
      <c r="F198" s="6" t="s">
        <v>30</v>
      </c>
      <c r="G198" s="6" t="s">
        <v>18</v>
      </c>
      <c r="H198" s="6" t="s">
        <v>49</v>
      </c>
      <c r="I198" s="6" t="s">
        <v>50</v>
      </c>
      <c r="K198" s="3" t="b">
        <f t="shared" si="3"/>
        <v>0</v>
      </c>
      <c r="L198" s="3">
        <v>3115.0</v>
      </c>
      <c r="N198" s="7">
        <v>1980.0</v>
      </c>
      <c r="O198" s="7">
        <f t="shared" si="25"/>
        <v>6167.7</v>
      </c>
    </row>
    <row r="199">
      <c r="A199" s="6">
        <v>2025.0</v>
      </c>
      <c r="B199" s="6" t="s">
        <v>124</v>
      </c>
      <c r="C199" s="1">
        <f t="shared" si="1"/>
        <v>4</v>
      </c>
      <c r="D199" s="2" t="s">
        <v>16</v>
      </c>
      <c r="E199" s="6">
        <f t="shared" si="2"/>
        <v>1</v>
      </c>
      <c r="F199" s="6" t="s">
        <v>30</v>
      </c>
      <c r="G199" s="6" t="s">
        <v>18</v>
      </c>
      <c r="H199" s="6" t="s">
        <v>49</v>
      </c>
      <c r="I199" s="6" t="s">
        <v>62</v>
      </c>
      <c r="K199" s="3" t="b">
        <f t="shared" si="3"/>
        <v>0</v>
      </c>
      <c r="L199" s="3">
        <v>2390.0</v>
      </c>
      <c r="N199" s="7">
        <v>5000.0</v>
      </c>
      <c r="O199" s="7">
        <f t="shared" si="25"/>
        <v>11950</v>
      </c>
    </row>
    <row r="200">
      <c r="A200" s="6">
        <v>2025.0</v>
      </c>
      <c r="B200" s="6" t="s">
        <v>124</v>
      </c>
      <c r="C200" s="1">
        <f t="shared" si="1"/>
        <v>4</v>
      </c>
      <c r="D200" s="2" t="s">
        <v>16</v>
      </c>
      <c r="E200" s="6">
        <f t="shared" si="2"/>
        <v>1</v>
      </c>
      <c r="F200" s="6" t="s">
        <v>30</v>
      </c>
      <c r="G200" s="6" t="s">
        <v>18</v>
      </c>
      <c r="H200" s="6" t="s">
        <v>33</v>
      </c>
      <c r="I200" s="6" t="s">
        <v>59</v>
      </c>
      <c r="K200" s="3" t="b">
        <f t="shared" si="3"/>
        <v>0</v>
      </c>
      <c r="L200" s="3">
        <v>990.0</v>
      </c>
      <c r="N200" s="7">
        <v>1980.0</v>
      </c>
      <c r="O200" s="7">
        <f t="shared" si="25"/>
        <v>1960.2</v>
      </c>
    </row>
    <row r="201">
      <c r="A201" s="6">
        <v>2025.0</v>
      </c>
      <c r="B201" s="6" t="s">
        <v>124</v>
      </c>
      <c r="C201" s="1">
        <f t="shared" si="1"/>
        <v>4</v>
      </c>
      <c r="D201" s="2" t="s">
        <v>16</v>
      </c>
      <c r="E201" s="6">
        <f t="shared" si="2"/>
        <v>1</v>
      </c>
      <c r="F201" s="6" t="s">
        <v>30</v>
      </c>
      <c r="G201" s="6" t="s">
        <v>18</v>
      </c>
      <c r="H201" s="6" t="s">
        <v>49</v>
      </c>
      <c r="I201" s="6" t="s">
        <v>109</v>
      </c>
      <c r="K201" s="3" t="b">
        <f t="shared" si="3"/>
        <v>1</v>
      </c>
      <c r="L201" s="3">
        <v>2310.0</v>
      </c>
      <c r="N201" s="7">
        <v>3300.0</v>
      </c>
      <c r="O201" s="7">
        <f t="shared" si="25"/>
        <v>7623</v>
      </c>
    </row>
    <row r="202">
      <c r="A202" s="6">
        <v>2025.0</v>
      </c>
      <c r="B202" s="6" t="s">
        <v>124</v>
      </c>
      <c r="C202" s="1">
        <f t="shared" si="1"/>
        <v>4</v>
      </c>
      <c r="D202" s="2" t="s">
        <v>16</v>
      </c>
      <c r="E202" s="6">
        <f t="shared" si="2"/>
        <v>1</v>
      </c>
      <c r="F202" s="6" t="s">
        <v>30</v>
      </c>
      <c r="G202" s="6" t="s">
        <v>18</v>
      </c>
      <c r="H202" s="6" t="s">
        <v>49</v>
      </c>
      <c r="I202" s="6" t="s">
        <v>131</v>
      </c>
      <c r="K202" s="3" t="b">
        <f t="shared" si="3"/>
        <v>0</v>
      </c>
      <c r="L202" s="3">
        <v>470.0</v>
      </c>
      <c r="N202" s="7">
        <v>3980.0</v>
      </c>
      <c r="O202" s="7">
        <f t="shared" si="25"/>
        <v>1870.6</v>
      </c>
    </row>
    <row r="203">
      <c r="A203" s="6">
        <v>2025.0</v>
      </c>
      <c r="B203" s="6" t="s">
        <v>124</v>
      </c>
      <c r="C203" s="1">
        <f t="shared" si="1"/>
        <v>4</v>
      </c>
      <c r="D203" s="2" t="s">
        <v>16</v>
      </c>
      <c r="E203" s="6">
        <f t="shared" si="2"/>
        <v>1</v>
      </c>
      <c r="F203" s="6" t="s">
        <v>30</v>
      </c>
      <c r="G203" s="6" t="s">
        <v>18</v>
      </c>
      <c r="H203" s="6" t="s">
        <v>24</v>
      </c>
      <c r="I203" s="6" t="s">
        <v>42</v>
      </c>
      <c r="K203" s="3" t="b">
        <f t="shared" si="3"/>
        <v>0</v>
      </c>
      <c r="L203" s="3">
        <v>400.0</v>
      </c>
      <c r="M203" s="6">
        <v>1.0</v>
      </c>
      <c r="N203" s="7">
        <v>15990.0</v>
      </c>
      <c r="O203" s="7">
        <f t="shared" ref="O203:O218" si="26">N203*M203</f>
        <v>15990</v>
      </c>
    </row>
    <row r="204">
      <c r="A204" s="6">
        <v>2025.0</v>
      </c>
      <c r="B204" s="6" t="s">
        <v>124</v>
      </c>
      <c r="C204" s="1">
        <f t="shared" si="1"/>
        <v>4</v>
      </c>
      <c r="D204" s="2" t="s">
        <v>16</v>
      </c>
      <c r="E204" s="6">
        <f t="shared" si="2"/>
        <v>1</v>
      </c>
      <c r="F204" s="6" t="s">
        <v>30</v>
      </c>
      <c r="G204" s="6" t="s">
        <v>18</v>
      </c>
      <c r="H204" s="6" t="s">
        <v>76</v>
      </c>
      <c r="I204" s="6" t="s">
        <v>77</v>
      </c>
      <c r="K204" s="3" t="b">
        <f t="shared" si="3"/>
        <v>0</v>
      </c>
      <c r="L204" s="3">
        <v>650.0</v>
      </c>
      <c r="M204" s="6">
        <v>1.0</v>
      </c>
      <c r="N204" s="7">
        <v>8850.0</v>
      </c>
      <c r="O204" s="7">
        <f t="shared" si="26"/>
        <v>8850</v>
      </c>
    </row>
    <row r="205">
      <c r="A205" s="6">
        <v>2025.0</v>
      </c>
      <c r="B205" s="6" t="s">
        <v>124</v>
      </c>
      <c r="C205" s="1">
        <f t="shared" si="1"/>
        <v>4</v>
      </c>
      <c r="D205" s="2" t="s">
        <v>65</v>
      </c>
      <c r="E205" s="6">
        <f t="shared" si="2"/>
        <v>2</v>
      </c>
      <c r="F205" s="6" t="s">
        <v>17</v>
      </c>
      <c r="G205" s="6" t="s">
        <v>18</v>
      </c>
      <c r="H205" s="6" t="s">
        <v>85</v>
      </c>
      <c r="I205" s="6" t="s">
        <v>86</v>
      </c>
      <c r="K205" s="3" t="b">
        <f t="shared" si="3"/>
        <v>0</v>
      </c>
      <c r="L205" s="8"/>
      <c r="M205" s="6">
        <v>1.0</v>
      </c>
      <c r="N205" s="10">
        <v>1200.0</v>
      </c>
      <c r="O205" s="7">
        <f t="shared" si="26"/>
        <v>1200</v>
      </c>
    </row>
    <row r="206">
      <c r="A206" s="6">
        <v>2025.0</v>
      </c>
      <c r="B206" s="6" t="s">
        <v>124</v>
      </c>
      <c r="C206" s="1">
        <f t="shared" si="1"/>
        <v>4</v>
      </c>
      <c r="D206" s="2" t="s">
        <v>65</v>
      </c>
      <c r="E206" s="6">
        <f t="shared" si="2"/>
        <v>2</v>
      </c>
      <c r="F206" s="6" t="s">
        <v>17</v>
      </c>
      <c r="G206" s="6" t="s">
        <v>18</v>
      </c>
      <c r="H206" s="6" t="s">
        <v>85</v>
      </c>
      <c r="I206" s="6" t="s">
        <v>88</v>
      </c>
      <c r="K206" s="3" t="b">
        <f t="shared" si="3"/>
        <v>0</v>
      </c>
      <c r="L206" s="8"/>
      <c r="M206" s="6">
        <v>1.0</v>
      </c>
      <c r="N206" s="10">
        <v>1200.0</v>
      </c>
      <c r="O206" s="7">
        <f t="shared" si="26"/>
        <v>1200</v>
      </c>
    </row>
    <row r="207">
      <c r="A207" s="6">
        <v>2025.0</v>
      </c>
      <c r="B207" s="6" t="s">
        <v>124</v>
      </c>
      <c r="C207" s="1">
        <f t="shared" si="1"/>
        <v>4</v>
      </c>
      <c r="D207" s="2" t="s">
        <v>65</v>
      </c>
      <c r="E207" s="6">
        <f t="shared" si="2"/>
        <v>2</v>
      </c>
      <c r="F207" s="6" t="s">
        <v>17</v>
      </c>
      <c r="G207" s="6" t="s">
        <v>18</v>
      </c>
      <c r="H207" s="6" t="s">
        <v>92</v>
      </c>
      <c r="I207" s="6" t="s">
        <v>125</v>
      </c>
      <c r="K207" s="3" t="b">
        <f t="shared" si="3"/>
        <v>0</v>
      </c>
      <c r="L207" s="8"/>
      <c r="M207" s="6">
        <v>1.0</v>
      </c>
      <c r="N207" s="10">
        <v>5990.0</v>
      </c>
      <c r="O207" s="7">
        <f t="shared" si="26"/>
        <v>5990</v>
      </c>
    </row>
    <row r="208">
      <c r="A208" s="6">
        <v>2025.0</v>
      </c>
      <c r="B208" s="6" t="s">
        <v>124</v>
      </c>
      <c r="C208" s="1">
        <f t="shared" si="1"/>
        <v>4</v>
      </c>
      <c r="D208" s="2" t="s">
        <v>65</v>
      </c>
      <c r="E208" s="6">
        <f t="shared" si="2"/>
        <v>2</v>
      </c>
      <c r="F208" s="6" t="s">
        <v>17</v>
      </c>
      <c r="G208" s="6" t="s">
        <v>18</v>
      </c>
      <c r="H208" s="6" t="s">
        <v>37</v>
      </c>
      <c r="I208" s="6" t="s">
        <v>98</v>
      </c>
      <c r="K208" s="3" t="b">
        <f t="shared" si="3"/>
        <v>0</v>
      </c>
      <c r="L208" s="8"/>
      <c r="M208" s="6">
        <v>1.0</v>
      </c>
      <c r="N208" s="9">
        <v>8700.0</v>
      </c>
      <c r="O208" s="7">
        <f t="shared" si="26"/>
        <v>8700</v>
      </c>
    </row>
    <row r="209">
      <c r="A209" s="6">
        <v>2025.0</v>
      </c>
      <c r="B209" s="6" t="s">
        <v>124</v>
      </c>
      <c r="C209" s="1">
        <f t="shared" si="1"/>
        <v>4</v>
      </c>
      <c r="D209" s="2" t="s">
        <v>65</v>
      </c>
      <c r="E209" s="6">
        <f t="shared" si="2"/>
        <v>2</v>
      </c>
      <c r="F209" s="6" t="s">
        <v>17</v>
      </c>
      <c r="G209" s="6" t="s">
        <v>18</v>
      </c>
      <c r="H209" s="6" t="s">
        <v>27</v>
      </c>
      <c r="I209" s="6" t="s">
        <v>100</v>
      </c>
      <c r="K209" s="3" t="b">
        <f t="shared" si="3"/>
        <v>0</v>
      </c>
      <c r="L209" s="8"/>
      <c r="M209" s="6">
        <v>1.0</v>
      </c>
      <c r="N209" s="9">
        <v>3790.0</v>
      </c>
      <c r="O209" s="7">
        <f t="shared" si="26"/>
        <v>3790</v>
      </c>
    </row>
    <row r="210">
      <c r="A210" s="6">
        <v>2025.0</v>
      </c>
      <c r="B210" s="6" t="s">
        <v>124</v>
      </c>
      <c r="C210" s="1">
        <f t="shared" si="1"/>
        <v>4</v>
      </c>
      <c r="D210" s="2" t="s">
        <v>65</v>
      </c>
      <c r="E210" s="6">
        <f t="shared" si="2"/>
        <v>2</v>
      </c>
      <c r="F210" s="6" t="s">
        <v>17</v>
      </c>
      <c r="G210" s="6" t="s">
        <v>18</v>
      </c>
      <c r="H210" s="6" t="s">
        <v>94</v>
      </c>
      <c r="I210" s="6" t="s">
        <v>95</v>
      </c>
      <c r="K210" s="3" t="b">
        <f t="shared" si="3"/>
        <v>0</v>
      </c>
      <c r="L210" s="8"/>
      <c r="M210" s="6">
        <v>1.0</v>
      </c>
      <c r="N210" s="10">
        <v>6450.0</v>
      </c>
      <c r="O210" s="7">
        <f t="shared" si="26"/>
        <v>6450</v>
      </c>
    </row>
    <row r="211">
      <c r="A211" s="6">
        <v>2025.0</v>
      </c>
      <c r="B211" s="6" t="s">
        <v>124</v>
      </c>
      <c r="C211" s="1">
        <f t="shared" si="1"/>
        <v>4</v>
      </c>
      <c r="D211" s="2" t="s">
        <v>65</v>
      </c>
      <c r="E211" s="6">
        <f t="shared" si="2"/>
        <v>2</v>
      </c>
      <c r="F211" s="6" t="s">
        <v>17</v>
      </c>
      <c r="G211" s="6" t="s">
        <v>18</v>
      </c>
      <c r="H211" s="6" t="s">
        <v>37</v>
      </c>
      <c r="I211" s="6" t="s">
        <v>87</v>
      </c>
      <c r="K211" s="3" t="b">
        <f t="shared" si="3"/>
        <v>1</v>
      </c>
      <c r="L211" s="8"/>
      <c r="M211" s="6">
        <v>1.0</v>
      </c>
      <c r="N211" s="10">
        <v>6990.0</v>
      </c>
      <c r="O211" s="7">
        <f t="shared" si="26"/>
        <v>6990</v>
      </c>
    </row>
    <row r="212">
      <c r="A212" s="6">
        <v>2025.0</v>
      </c>
      <c r="B212" s="6" t="s">
        <v>124</v>
      </c>
      <c r="C212" s="1">
        <f t="shared" si="1"/>
        <v>4</v>
      </c>
      <c r="D212" s="2" t="s">
        <v>65</v>
      </c>
      <c r="E212" s="6">
        <f t="shared" si="2"/>
        <v>2</v>
      </c>
      <c r="F212" s="6" t="s">
        <v>17</v>
      </c>
      <c r="G212" s="6" t="s">
        <v>18</v>
      </c>
      <c r="H212" s="6" t="s">
        <v>37</v>
      </c>
      <c r="I212" s="6" t="s">
        <v>87</v>
      </c>
      <c r="K212" s="3" t="b">
        <f t="shared" si="3"/>
        <v>1</v>
      </c>
      <c r="L212" s="8"/>
      <c r="M212" s="6">
        <v>1.0</v>
      </c>
      <c r="N212" s="10">
        <v>4900.0</v>
      </c>
      <c r="O212" s="7">
        <f t="shared" si="26"/>
        <v>4900</v>
      </c>
    </row>
    <row r="213">
      <c r="A213" s="6">
        <v>2025.0</v>
      </c>
      <c r="B213" s="6" t="s">
        <v>124</v>
      </c>
      <c r="C213" s="1">
        <f t="shared" si="1"/>
        <v>4</v>
      </c>
      <c r="D213" s="2" t="s">
        <v>65</v>
      </c>
      <c r="E213" s="6">
        <f t="shared" si="2"/>
        <v>2</v>
      </c>
      <c r="F213" s="6" t="s">
        <v>17</v>
      </c>
      <c r="G213" s="6" t="s">
        <v>83</v>
      </c>
      <c r="H213" s="6" t="s">
        <v>89</v>
      </c>
      <c r="I213" s="6" t="s">
        <v>115</v>
      </c>
      <c r="K213" s="3" t="b">
        <f t="shared" si="3"/>
        <v>0</v>
      </c>
      <c r="L213" s="8"/>
      <c r="M213" s="6">
        <v>1.0</v>
      </c>
      <c r="N213" s="10">
        <v>4950.0</v>
      </c>
      <c r="O213" s="7">
        <f t="shared" si="26"/>
        <v>4950</v>
      </c>
    </row>
    <row r="214">
      <c r="A214" s="6">
        <v>2025.0</v>
      </c>
      <c r="B214" s="6" t="s">
        <v>124</v>
      </c>
      <c r="C214" s="1">
        <f t="shared" si="1"/>
        <v>4</v>
      </c>
      <c r="D214" s="2" t="s">
        <v>65</v>
      </c>
      <c r="E214" s="6">
        <f t="shared" si="2"/>
        <v>2</v>
      </c>
      <c r="F214" s="6" t="s">
        <v>17</v>
      </c>
      <c r="G214" s="6" t="s">
        <v>79</v>
      </c>
      <c r="H214" s="6" t="s">
        <v>96</v>
      </c>
      <c r="I214" s="6" t="s">
        <v>113</v>
      </c>
      <c r="K214" s="3" t="b">
        <f t="shared" si="3"/>
        <v>0</v>
      </c>
      <c r="L214" s="8"/>
      <c r="M214" s="6">
        <v>1.0</v>
      </c>
      <c r="N214" s="10">
        <v>5100.0</v>
      </c>
      <c r="O214" s="7">
        <f t="shared" si="26"/>
        <v>5100</v>
      </c>
    </row>
    <row r="215">
      <c r="A215" s="6">
        <v>2025.0</v>
      </c>
      <c r="B215" s="6" t="s">
        <v>124</v>
      </c>
      <c r="C215" s="1">
        <f t="shared" si="1"/>
        <v>4</v>
      </c>
      <c r="D215" s="2" t="s">
        <v>65</v>
      </c>
      <c r="E215" s="6">
        <f t="shared" si="2"/>
        <v>2</v>
      </c>
      <c r="F215" s="6" t="s">
        <v>17</v>
      </c>
      <c r="G215" s="6" t="s">
        <v>18</v>
      </c>
      <c r="H215" s="6" t="s">
        <v>76</v>
      </c>
      <c r="I215" s="6" t="s">
        <v>120</v>
      </c>
      <c r="K215" s="3" t="b">
        <f t="shared" si="3"/>
        <v>0</v>
      </c>
      <c r="L215" s="8"/>
      <c r="M215" s="6">
        <v>2.0</v>
      </c>
      <c r="N215" s="10">
        <v>3400.0</v>
      </c>
      <c r="O215" s="7">
        <f t="shared" si="26"/>
        <v>6800</v>
      </c>
    </row>
    <row r="216">
      <c r="A216" s="6">
        <v>2025.0</v>
      </c>
      <c r="B216" s="6" t="s">
        <v>124</v>
      </c>
      <c r="C216" s="1">
        <f t="shared" si="1"/>
        <v>4</v>
      </c>
      <c r="D216" s="2" t="s">
        <v>65</v>
      </c>
      <c r="E216" s="6">
        <f t="shared" si="2"/>
        <v>2</v>
      </c>
      <c r="F216" s="6" t="s">
        <v>17</v>
      </c>
      <c r="G216" s="6" t="s">
        <v>79</v>
      </c>
      <c r="H216" s="6" t="s">
        <v>80</v>
      </c>
      <c r="I216" s="6" t="s">
        <v>81</v>
      </c>
      <c r="K216" s="3" t="b">
        <f t="shared" si="3"/>
        <v>0</v>
      </c>
      <c r="L216" s="8"/>
      <c r="M216" s="6">
        <v>1.0</v>
      </c>
      <c r="N216" s="7">
        <v>14290.0</v>
      </c>
      <c r="O216" s="7">
        <f t="shared" si="26"/>
        <v>14290</v>
      </c>
    </row>
    <row r="217">
      <c r="A217" s="6">
        <v>2025.0</v>
      </c>
      <c r="B217" s="6" t="s">
        <v>124</v>
      </c>
      <c r="C217" s="1">
        <f t="shared" si="1"/>
        <v>4</v>
      </c>
      <c r="D217" s="2" t="s">
        <v>65</v>
      </c>
      <c r="E217" s="6">
        <f t="shared" si="2"/>
        <v>2</v>
      </c>
      <c r="F217" s="6" t="s">
        <v>17</v>
      </c>
      <c r="G217" s="6" t="s">
        <v>18</v>
      </c>
      <c r="H217" s="6" t="s">
        <v>94</v>
      </c>
      <c r="I217" s="6" t="s">
        <v>103</v>
      </c>
      <c r="K217" s="3" t="b">
        <f t="shared" si="3"/>
        <v>0</v>
      </c>
      <c r="L217" s="8"/>
      <c r="M217" s="6">
        <v>3.0</v>
      </c>
      <c r="N217" s="7">
        <v>1950.0</v>
      </c>
      <c r="O217" s="7">
        <f t="shared" si="26"/>
        <v>5850</v>
      </c>
    </row>
    <row r="218">
      <c r="A218" s="6">
        <v>2025.0</v>
      </c>
      <c r="B218" s="6" t="s">
        <v>124</v>
      </c>
      <c r="C218" s="1">
        <f t="shared" si="1"/>
        <v>4</v>
      </c>
      <c r="D218" s="2" t="s">
        <v>65</v>
      </c>
      <c r="E218" s="6">
        <f t="shared" si="2"/>
        <v>2</v>
      </c>
      <c r="F218" s="6" t="s">
        <v>17</v>
      </c>
      <c r="G218" s="6" t="s">
        <v>18</v>
      </c>
      <c r="H218" s="6" t="s">
        <v>19</v>
      </c>
      <c r="I218" s="6" t="s">
        <v>104</v>
      </c>
      <c r="K218" s="3" t="b">
        <f t="shared" si="3"/>
        <v>0</v>
      </c>
      <c r="L218" s="8"/>
      <c r="M218" s="6">
        <v>1.0</v>
      </c>
      <c r="N218" s="7">
        <v>7990.0</v>
      </c>
      <c r="O218" s="7">
        <f t="shared" si="26"/>
        <v>7990</v>
      </c>
    </row>
    <row r="219">
      <c r="A219" s="6">
        <v>2025.0</v>
      </c>
      <c r="B219" s="6" t="s">
        <v>124</v>
      </c>
      <c r="C219" s="1">
        <f t="shared" si="1"/>
        <v>4</v>
      </c>
      <c r="D219" s="2" t="s">
        <v>65</v>
      </c>
      <c r="E219" s="6">
        <f t="shared" si="2"/>
        <v>2</v>
      </c>
      <c r="F219" s="6" t="s">
        <v>30</v>
      </c>
      <c r="G219" s="6" t="s">
        <v>18</v>
      </c>
      <c r="H219" s="6" t="s">
        <v>37</v>
      </c>
      <c r="I219" s="6" t="s">
        <v>68</v>
      </c>
      <c r="K219" s="3" t="b">
        <f t="shared" si="3"/>
        <v>0</v>
      </c>
      <c r="L219" s="3">
        <v>986.0</v>
      </c>
      <c r="N219" s="7">
        <v>26380.0</v>
      </c>
      <c r="O219" s="7">
        <f t="shared" ref="O219:O224" si="27">N219*L219/1000</f>
        <v>26010.68</v>
      </c>
    </row>
    <row r="220">
      <c r="A220" s="6">
        <v>2025.0</v>
      </c>
      <c r="B220" s="6" t="s">
        <v>124</v>
      </c>
      <c r="C220" s="1">
        <f t="shared" si="1"/>
        <v>4</v>
      </c>
      <c r="D220" s="2" t="s">
        <v>65</v>
      </c>
      <c r="E220" s="6">
        <f t="shared" si="2"/>
        <v>2</v>
      </c>
      <c r="F220" s="6" t="s">
        <v>30</v>
      </c>
      <c r="G220" s="6" t="s">
        <v>18</v>
      </c>
      <c r="H220" s="6" t="s">
        <v>37</v>
      </c>
      <c r="I220" s="6" t="s">
        <v>44</v>
      </c>
      <c r="K220" s="3" t="b">
        <f t="shared" si="3"/>
        <v>0</v>
      </c>
      <c r="L220" s="3">
        <v>1098.0</v>
      </c>
      <c r="N220" s="7">
        <v>8580.0</v>
      </c>
      <c r="O220" s="7">
        <f t="shared" si="27"/>
        <v>9420.84</v>
      </c>
    </row>
    <row r="221">
      <c r="A221" s="6">
        <v>2025.0</v>
      </c>
      <c r="B221" s="6" t="s">
        <v>124</v>
      </c>
      <c r="C221" s="1">
        <f t="shared" si="1"/>
        <v>4</v>
      </c>
      <c r="D221" s="2" t="s">
        <v>65</v>
      </c>
      <c r="E221" s="6">
        <f t="shared" si="2"/>
        <v>2</v>
      </c>
      <c r="F221" s="6" t="s">
        <v>30</v>
      </c>
      <c r="G221" s="6" t="s">
        <v>18</v>
      </c>
      <c r="H221" s="6" t="s">
        <v>37</v>
      </c>
      <c r="I221" s="6" t="s">
        <v>45</v>
      </c>
      <c r="K221" s="3" t="b">
        <f t="shared" si="3"/>
        <v>0</v>
      </c>
      <c r="L221" s="3">
        <v>768.0</v>
      </c>
      <c r="N221" s="7">
        <v>17800.0</v>
      </c>
      <c r="O221" s="7">
        <f t="shared" si="27"/>
        <v>13670.4</v>
      </c>
    </row>
    <row r="222">
      <c r="A222" s="6">
        <v>2025.0</v>
      </c>
      <c r="B222" s="6" t="s">
        <v>124</v>
      </c>
      <c r="C222" s="1">
        <f t="shared" si="1"/>
        <v>4</v>
      </c>
      <c r="D222" s="2" t="s">
        <v>65</v>
      </c>
      <c r="E222" s="6">
        <f t="shared" si="2"/>
        <v>2</v>
      </c>
      <c r="F222" s="6" t="s">
        <v>30</v>
      </c>
      <c r="G222" s="6" t="s">
        <v>18</v>
      </c>
      <c r="H222" s="6" t="s">
        <v>37</v>
      </c>
      <c r="I222" s="6" t="s">
        <v>123</v>
      </c>
      <c r="K222" s="3" t="b">
        <f t="shared" si="3"/>
        <v>0</v>
      </c>
      <c r="L222" s="3">
        <v>1866.0</v>
      </c>
      <c r="N222" s="7">
        <v>26380.0</v>
      </c>
      <c r="O222" s="7">
        <f t="shared" si="27"/>
        <v>49225.08</v>
      </c>
    </row>
    <row r="223">
      <c r="A223" s="6">
        <v>2025.0</v>
      </c>
      <c r="B223" s="6" t="s">
        <v>124</v>
      </c>
      <c r="C223" s="1">
        <f t="shared" si="1"/>
        <v>4</v>
      </c>
      <c r="D223" s="2" t="s">
        <v>65</v>
      </c>
      <c r="E223" s="6">
        <f t="shared" si="2"/>
        <v>2</v>
      </c>
      <c r="F223" s="6" t="s">
        <v>30</v>
      </c>
      <c r="G223" s="6" t="s">
        <v>18</v>
      </c>
      <c r="H223" s="6" t="s">
        <v>37</v>
      </c>
      <c r="I223" s="6" t="s">
        <v>69</v>
      </c>
      <c r="K223" s="3" t="b">
        <f t="shared" si="3"/>
        <v>0</v>
      </c>
      <c r="L223" s="3">
        <v>1250.0</v>
      </c>
      <c r="N223" s="7">
        <v>12980.0</v>
      </c>
      <c r="O223" s="7">
        <f t="shared" si="27"/>
        <v>16225</v>
      </c>
    </row>
    <row r="224">
      <c r="A224" s="6">
        <v>2025.0</v>
      </c>
      <c r="B224" s="6" t="s">
        <v>124</v>
      </c>
      <c r="C224" s="1">
        <f t="shared" si="1"/>
        <v>4</v>
      </c>
      <c r="D224" s="2" t="s">
        <v>65</v>
      </c>
      <c r="E224" s="6">
        <f t="shared" si="2"/>
        <v>2</v>
      </c>
      <c r="F224" s="6" t="s">
        <v>30</v>
      </c>
      <c r="G224" s="6" t="s">
        <v>18</v>
      </c>
      <c r="H224" s="6" t="s">
        <v>37</v>
      </c>
      <c r="I224" s="6" t="s">
        <v>60</v>
      </c>
      <c r="K224" s="3" t="b">
        <f t="shared" si="3"/>
        <v>0</v>
      </c>
      <c r="L224" s="3">
        <v>3290.0</v>
      </c>
      <c r="N224" s="7">
        <v>7900.0</v>
      </c>
      <c r="O224" s="7">
        <f t="shared" si="27"/>
        <v>25991</v>
      </c>
    </row>
    <row r="225">
      <c r="A225" s="6">
        <v>2025.0</v>
      </c>
      <c r="B225" s="6" t="s">
        <v>124</v>
      </c>
      <c r="C225" s="1">
        <f t="shared" si="1"/>
        <v>4</v>
      </c>
      <c r="D225" s="2" t="s">
        <v>65</v>
      </c>
      <c r="E225" s="6">
        <f t="shared" si="2"/>
        <v>2</v>
      </c>
      <c r="F225" s="6" t="s">
        <v>30</v>
      </c>
      <c r="G225" s="6" t="s">
        <v>18</v>
      </c>
      <c r="H225" s="6" t="s">
        <v>19</v>
      </c>
      <c r="I225" s="6" t="s">
        <v>132</v>
      </c>
      <c r="K225" s="3" t="b">
        <f t="shared" si="3"/>
        <v>0</v>
      </c>
      <c r="L225" s="3">
        <v>1000.0</v>
      </c>
      <c r="M225" s="3">
        <v>1.0</v>
      </c>
      <c r="N225" s="7">
        <v>20990.0</v>
      </c>
      <c r="O225" s="7">
        <f>N225*M225</f>
        <v>20990</v>
      </c>
    </row>
    <row r="226">
      <c r="A226" s="6">
        <v>2025.0</v>
      </c>
      <c r="B226" s="6" t="s">
        <v>124</v>
      </c>
      <c r="C226" s="1">
        <f t="shared" si="1"/>
        <v>4</v>
      </c>
      <c r="D226" s="2" t="s">
        <v>65</v>
      </c>
      <c r="E226" s="6">
        <f t="shared" si="2"/>
        <v>2</v>
      </c>
      <c r="F226" s="6" t="s">
        <v>30</v>
      </c>
      <c r="G226" s="6" t="s">
        <v>18</v>
      </c>
      <c r="H226" s="6" t="s">
        <v>49</v>
      </c>
      <c r="I226" s="6" t="s">
        <v>131</v>
      </c>
      <c r="K226" s="3" t="b">
        <f t="shared" si="3"/>
        <v>0</v>
      </c>
      <c r="L226" s="3">
        <v>770.0</v>
      </c>
      <c r="N226" s="7">
        <v>4100.0</v>
      </c>
      <c r="O226" s="7">
        <f t="shared" ref="O226:O233" si="28">N226*L226/1000</f>
        <v>3157</v>
      </c>
    </row>
    <row r="227">
      <c r="A227" s="6">
        <v>2025.0</v>
      </c>
      <c r="B227" s="6" t="s">
        <v>124</v>
      </c>
      <c r="C227" s="1">
        <f t="shared" si="1"/>
        <v>4</v>
      </c>
      <c r="D227" s="2" t="s">
        <v>65</v>
      </c>
      <c r="E227" s="6">
        <f t="shared" si="2"/>
        <v>2</v>
      </c>
      <c r="F227" s="6" t="s">
        <v>30</v>
      </c>
      <c r="G227" s="6" t="s">
        <v>18</v>
      </c>
      <c r="H227" s="6" t="s">
        <v>49</v>
      </c>
      <c r="I227" s="6" t="s">
        <v>50</v>
      </c>
      <c r="K227" s="3" t="b">
        <f t="shared" si="3"/>
        <v>0</v>
      </c>
      <c r="L227" s="3">
        <v>2290.0</v>
      </c>
      <c r="N227" s="7">
        <v>3200.0</v>
      </c>
      <c r="O227" s="7">
        <f t="shared" si="28"/>
        <v>7328</v>
      </c>
    </row>
    <row r="228">
      <c r="A228" s="6">
        <v>2025.0</v>
      </c>
      <c r="B228" s="6" t="s">
        <v>124</v>
      </c>
      <c r="C228" s="1">
        <f t="shared" si="1"/>
        <v>4</v>
      </c>
      <c r="D228" s="2" t="s">
        <v>65</v>
      </c>
      <c r="E228" s="6">
        <f t="shared" si="2"/>
        <v>2</v>
      </c>
      <c r="F228" s="6" t="s">
        <v>30</v>
      </c>
      <c r="G228" s="6" t="s">
        <v>18</v>
      </c>
      <c r="H228" s="6" t="s">
        <v>33</v>
      </c>
      <c r="I228" s="6" t="s">
        <v>34</v>
      </c>
      <c r="K228" s="3" t="b">
        <f t="shared" si="3"/>
        <v>0</v>
      </c>
      <c r="L228" s="3">
        <v>1470.0</v>
      </c>
      <c r="N228" s="7">
        <v>9780.0</v>
      </c>
      <c r="O228" s="7">
        <f t="shared" si="28"/>
        <v>14376.6</v>
      </c>
    </row>
    <row r="229">
      <c r="A229" s="6">
        <v>2025.0</v>
      </c>
      <c r="B229" s="6" t="s">
        <v>124</v>
      </c>
      <c r="C229" s="1">
        <f t="shared" si="1"/>
        <v>4</v>
      </c>
      <c r="D229" s="2" t="s">
        <v>65</v>
      </c>
      <c r="E229" s="6">
        <f t="shared" si="2"/>
        <v>2</v>
      </c>
      <c r="F229" s="6" t="s">
        <v>30</v>
      </c>
      <c r="G229" s="6" t="s">
        <v>18</v>
      </c>
      <c r="H229" s="6" t="s">
        <v>49</v>
      </c>
      <c r="I229" s="6" t="s">
        <v>74</v>
      </c>
      <c r="K229" s="3" t="b">
        <f t="shared" si="3"/>
        <v>0</v>
      </c>
      <c r="L229" s="3">
        <v>2850.0</v>
      </c>
      <c r="N229" s="7">
        <v>2300.0</v>
      </c>
      <c r="O229" s="7">
        <f t="shared" si="28"/>
        <v>6555</v>
      </c>
    </row>
    <row r="230">
      <c r="A230" s="6">
        <v>2025.0</v>
      </c>
      <c r="B230" s="6" t="s">
        <v>124</v>
      </c>
      <c r="C230" s="1">
        <f t="shared" si="1"/>
        <v>4</v>
      </c>
      <c r="D230" s="2" t="s">
        <v>65</v>
      </c>
      <c r="E230" s="6">
        <f t="shared" si="2"/>
        <v>2</v>
      </c>
      <c r="F230" s="6" t="s">
        <v>30</v>
      </c>
      <c r="G230" s="6" t="s">
        <v>18</v>
      </c>
      <c r="H230" s="6" t="s">
        <v>49</v>
      </c>
      <c r="I230" s="6" t="s">
        <v>71</v>
      </c>
      <c r="K230" s="3" t="b">
        <f t="shared" si="3"/>
        <v>1</v>
      </c>
      <c r="L230" s="3">
        <v>550.0</v>
      </c>
      <c r="N230" s="7">
        <v>6900.0</v>
      </c>
      <c r="O230" s="7">
        <f t="shared" si="28"/>
        <v>3795</v>
      </c>
    </row>
    <row r="231">
      <c r="A231" s="6">
        <v>2025.0</v>
      </c>
      <c r="B231" s="6" t="s">
        <v>124</v>
      </c>
      <c r="C231" s="1">
        <f t="shared" si="1"/>
        <v>4</v>
      </c>
      <c r="D231" s="2" t="s">
        <v>65</v>
      </c>
      <c r="E231" s="6">
        <f t="shared" si="2"/>
        <v>2</v>
      </c>
      <c r="F231" s="6" t="s">
        <v>30</v>
      </c>
      <c r="G231" s="6" t="s">
        <v>18</v>
      </c>
      <c r="H231" s="6" t="s">
        <v>49</v>
      </c>
      <c r="I231" s="6" t="s">
        <v>58</v>
      </c>
      <c r="K231" s="3" t="b">
        <f t="shared" si="3"/>
        <v>0</v>
      </c>
      <c r="L231" s="3">
        <v>470.0</v>
      </c>
      <c r="N231" s="7">
        <v>5100.0</v>
      </c>
      <c r="O231" s="7">
        <f t="shared" si="28"/>
        <v>2397</v>
      </c>
    </row>
    <row r="232">
      <c r="A232" s="6">
        <v>2025.0</v>
      </c>
      <c r="B232" s="6" t="s">
        <v>124</v>
      </c>
      <c r="C232" s="1">
        <f t="shared" si="1"/>
        <v>4</v>
      </c>
      <c r="D232" s="2" t="s">
        <v>65</v>
      </c>
      <c r="E232" s="6">
        <f t="shared" si="2"/>
        <v>2</v>
      </c>
      <c r="F232" s="6" t="s">
        <v>30</v>
      </c>
      <c r="G232" s="6" t="s">
        <v>18</v>
      </c>
      <c r="H232" s="6" t="s">
        <v>49</v>
      </c>
      <c r="I232" s="6" t="s">
        <v>121</v>
      </c>
      <c r="K232" s="3" t="b">
        <f t="shared" si="3"/>
        <v>0</v>
      </c>
      <c r="L232" s="3">
        <v>700.0</v>
      </c>
      <c r="N232" s="7">
        <v>3500.0</v>
      </c>
      <c r="O232" s="7">
        <f t="shared" si="28"/>
        <v>2450</v>
      </c>
    </row>
    <row r="233">
      <c r="A233" s="6">
        <v>2025.0</v>
      </c>
      <c r="B233" s="6" t="s">
        <v>124</v>
      </c>
      <c r="C233" s="1">
        <f t="shared" si="1"/>
        <v>4</v>
      </c>
      <c r="D233" s="2" t="s">
        <v>65</v>
      </c>
      <c r="E233" s="6">
        <f t="shared" si="2"/>
        <v>2</v>
      </c>
      <c r="F233" s="6" t="s">
        <v>30</v>
      </c>
      <c r="G233" s="6" t="s">
        <v>18</v>
      </c>
      <c r="H233" s="6" t="s">
        <v>49</v>
      </c>
      <c r="I233" s="6" t="s">
        <v>62</v>
      </c>
      <c r="K233" s="3" t="b">
        <f t="shared" si="3"/>
        <v>0</v>
      </c>
      <c r="L233" s="3">
        <v>2090.0</v>
      </c>
      <c r="N233" s="7">
        <v>6300.0</v>
      </c>
      <c r="O233" s="7">
        <f t="shared" si="28"/>
        <v>13167</v>
      </c>
    </row>
    <row r="234">
      <c r="A234" s="6">
        <v>2025.0</v>
      </c>
      <c r="B234" s="6" t="s">
        <v>124</v>
      </c>
      <c r="C234" s="1">
        <f t="shared" si="1"/>
        <v>4</v>
      </c>
      <c r="D234" s="2" t="s">
        <v>65</v>
      </c>
      <c r="E234" s="6">
        <f t="shared" si="2"/>
        <v>2</v>
      </c>
      <c r="F234" s="6" t="s">
        <v>30</v>
      </c>
      <c r="G234" s="6" t="s">
        <v>18</v>
      </c>
      <c r="H234" s="6" t="s">
        <v>37</v>
      </c>
      <c r="I234" s="6" t="s">
        <v>133</v>
      </c>
      <c r="K234" s="3" t="b">
        <f t="shared" si="3"/>
        <v>0</v>
      </c>
      <c r="L234" s="3">
        <v>142.0</v>
      </c>
      <c r="M234" s="3">
        <v>1.0</v>
      </c>
      <c r="N234" s="7">
        <v>10990.0</v>
      </c>
      <c r="O234" s="7">
        <f t="shared" ref="O234:O236" si="29">N234*M234</f>
        <v>10990</v>
      </c>
    </row>
    <row r="235">
      <c r="A235" s="6">
        <v>2025.0</v>
      </c>
      <c r="B235" s="6" t="s">
        <v>124</v>
      </c>
      <c r="C235" s="1">
        <f t="shared" si="1"/>
        <v>4</v>
      </c>
      <c r="D235" s="2" t="s">
        <v>65</v>
      </c>
      <c r="E235" s="6">
        <f t="shared" si="2"/>
        <v>2</v>
      </c>
      <c r="F235" s="6" t="s">
        <v>30</v>
      </c>
      <c r="G235" s="6" t="s">
        <v>18</v>
      </c>
      <c r="H235" s="6" t="s">
        <v>27</v>
      </c>
      <c r="I235" s="6" t="s">
        <v>112</v>
      </c>
      <c r="K235" s="3" t="b">
        <f t="shared" si="3"/>
        <v>0</v>
      </c>
      <c r="L235" s="3">
        <v>55.0</v>
      </c>
      <c r="M235" s="3">
        <v>1.0</v>
      </c>
      <c r="N235" s="7">
        <v>1990.0</v>
      </c>
      <c r="O235" s="7">
        <f t="shared" si="29"/>
        <v>1990</v>
      </c>
    </row>
    <row r="236">
      <c r="A236" s="6">
        <v>2025.0</v>
      </c>
      <c r="B236" s="6" t="s">
        <v>124</v>
      </c>
      <c r="C236" s="1">
        <f t="shared" si="1"/>
        <v>4</v>
      </c>
      <c r="D236" s="2" t="s">
        <v>65</v>
      </c>
      <c r="E236" s="6">
        <f t="shared" si="2"/>
        <v>2</v>
      </c>
      <c r="F236" s="6" t="s">
        <v>30</v>
      </c>
      <c r="G236" s="6" t="s">
        <v>18</v>
      </c>
      <c r="H236" s="6" t="s">
        <v>49</v>
      </c>
      <c r="I236" s="6" t="s">
        <v>71</v>
      </c>
      <c r="K236" s="3" t="b">
        <f t="shared" si="3"/>
        <v>1</v>
      </c>
      <c r="L236" s="8"/>
      <c r="M236" s="3">
        <v>1.0</v>
      </c>
      <c r="N236" s="7">
        <v>2750.0</v>
      </c>
      <c r="O236" s="7">
        <f t="shared" si="29"/>
        <v>2750</v>
      </c>
    </row>
    <row r="237">
      <c r="A237" s="6">
        <v>2025.0</v>
      </c>
      <c r="B237" s="6" t="s">
        <v>124</v>
      </c>
      <c r="C237" s="1">
        <f t="shared" si="1"/>
        <v>4</v>
      </c>
      <c r="D237" s="2" t="s">
        <v>65</v>
      </c>
      <c r="E237" s="6">
        <f t="shared" si="2"/>
        <v>2</v>
      </c>
      <c r="F237" s="6" t="s">
        <v>30</v>
      </c>
      <c r="G237" s="6" t="s">
        <v>18</v>
      </c>
      <c r="H237" s="6" t="s">
        <v>33</v>
      </c>
      <c r="I237" s="6" t="s">
        <v>70</v>
      </c>
      <c r="K237" s="3" t="b">
        <f t="shared" si="3"/>
        <v>0</v>
      </c>
      <c r="L237" s="3">
        <v>2250.0</v>
      </c>
      <c r="N237" s="7">
        <v>3180.0</v>
      </c>
      <c r="O237" s="7">
        <f t="shared" ref="O237:O238" si="30">N237*L237/1000</f>
        <v>7155</v>
      </c>
    </row>
    <row r="238">
      <c r="A238" s="6">
        <v>2025.0</v>
      </c>
      <c r="B238" s="6" t="s">
        <v>124</v>
      </c>
      <c r="C238" s="1">
        <f t="shared" si="1"/>
        <v>4</v>
      </c>
      <c r="D238" s="2" t="s">
        <v>65</v>
      </c>
      <c r="E238" s="6">
        <f t="shared" si="2"/>
        <v>2</v>
      </c>
      <c r="F238" s="6" t="s">
        <v>30</v>
      </c>
      <c r="G238" s="6" t="s">
        <v>18</v>
      </c>
      <c r="H238" s="6" t="s">
        <v>33</v>
      </c>
      <c r="I238" s="6" t="s">
        <v>59</v>
      </c>
      <c r="K238" s="3" t="b">
        <f t="shared" si="3"/>
        <v>0</v>
      </c>
      <c r="L238" s="3">
        <v>1410.0</v>
      </c>
      <c r="N238" s="7">
        <v>2380.0</v>
      </c>
      <c r="O238" s="7">
        <f t="shared" si="30"/>
        <v>3355.8</v>
      </c>
    </row>
    <row r="239">
      <c r="A239" s="6">
        <v>2025.0</v>
      </c>
      <c r="B239" s="6" t="s">
        <v>124</v>
      </c>
      <c r="C239" s="1">
        <f t="shared" si="1"/>
        <v>4</v>
      </c>
      <c r="D239" s="2" t="s">
        <v>65</v>
      </c>
      <c r="E239" s="6">
        <f t="shared" si="2"/>
        <v>2</v>
      </c>
      <c r="F239" s="6" t="s">
        <v>30</v>
      </c>
      <c r="G239" s="6" t="s">
        <v>18</v>
      </c>
      <c r="H239" s="6" t="s">
        <v>52</v>
      </c>
      <c r="I239" s="6" t="s">
        <v>75</v>
      </c>
      <c r="K239" s="3" t="b">
        <f t="shared" si="3"/>
        <v>0</v>
      </c>
      <c r="L239" s="3">
        <v>500.0</v>
      </c>
      <c r="M239" s="3">
        <v>1.0</v>
      </c>
      <c r="N239" s="7">
        <v>1990.0</v>
      </c>
      <c r="O239" s="7">
        <f t="shared" ref="O239:O262" si="31">N239*M239</f>
        <v>1990</v>
      </c>
    </row>
    <row r="240">
      <c r="A240" s="6">
        <v>2025.0</v>
      </c>
      <c r="B240" s="6" t="s">
        <v>124</v>
      </c>
      <c r="C240" s="1">
        <f t="shared" si="1"/>
        <v>4</v>
      </c>
      <c r="D240" s="2" t="s">
        <v>65</v>
      </c>
      <c r="E240" s="6">
        <f t="shared" si="2"/>
        <v>2</v>
      </c>
      <c r="F240" s="6" t="s">
        <v>30</v>
      </c>
      <c r="G240" s="6" t="s">
        <v>18</v>
      </c>
      <c r="H240" s="6" t="s">
        <v>52</v>
      </c>
      <c r="I240" s="6" t="s">
        <v>54</v>
      </c>
      <c r="K240" s="3" t="b">
        <f t="shared" si="3"/>
        <v>0</v>
      </c>
      <c r="L240" s="3">
        <v>500.0</v>
      </c>
      <c r="M240" s="3">
        <v>1.0</v>
      </c>
      <c r="N240" s="7">
        <v>4150.0</v>
      </c>
      <c r="O240" s="7">
        <f t="shared" si="31"/>
        <v>4150</v>
      </c>
    </row>
    <row r="241">
      <c r="A241" s="6">
        <v>2025.0</v>
      </c>
      <c r="B241" s="6" t="s">
        <v>124</v>
      </c>
      <c r="C241" s="1">
        <f t="shared" si="1"/>
        <v>4</v>
      </c>
      <c r="D241" s="2" t="s">
        <v>65</v>
      </c>
      <c r="E241" s="6">
        <f t="shared" si="2"/>
        <v>2</v>
      </c>
      <c r="F241" s="6" t="s">
        <v>30</v>
      </c>
      <c r="G241" s="6" t="s">
        <v>18</v>
      </c>
      <c r="H241" s="6" t="s">
        <v>52</v>
      </c>
      <c r="I241" s="6" t="s">
        <v>53</v>
      </c>
      <c r="K241" s="3" t="b">
        <f t="shared" si="3"/>
        <v>0</v>
      </c>
      <c r="L241" s="3">
        <v>500.0</v>
      </c>
      <c r="M241" s="3">
        <v>1.0</v>
      </c>
      <c r="N241" s="7">
        <v>3550.0</v>
      </c>
      <c r="O241" s="7">
        <f t="shared" si="31"/>
        <v>3550</v>
      </c>
    </row>
    <row r="242">
      <c r="A242" s="6">
        <v>2025.0</v>
      </c>
      <c r="B242" s="6" t="s">
        <v>124</v>
      </c>
      <c r="C242" s="1">
        <f t="shared" si="1"/>
        <v>4</v>
      </c>
      <c r="D242" s="2" t="s">
        <v>65</v>
      </c>
      <c r="E242" s="6">
        <f t="shared" si="2"/>
        <v>2</v>
      </c>
      <c r="F242" s="6" t="s">
        <v>30</v>
      </c>
      <c r="G242" s="6" t="s">
        <v>18</v>
      </c>
      <c r="H242" s="6" t="s">
        <v>24</v>
      </c>
      <c r="I242" s="6" t="s">
        <v>42</v>
      </c>
      <c r="K242" s="3" t="b">
        <f t="shared" si="3"/>
        <v>0</v>
      </c>
      <c r="L242" s="3">
        <v>400.0</v>
      </c>
      <c r="M242" s="3">
        <v>1.0</v>
      </c>
      <c r="N242" s="7">
        <v>15990.0</v>
      </c>
      <c r="O242" s="7">
        <f t="shared" si="31"/>
        <v>15990</v>
      </c>
    </row>
    <row r="243">
      <c r="A243" s="6">
        <v>2025.0</v>
      </c>
      <c r="B243" s="6" t="s">
        <v>124</v>
      </c>
      <c r="C243" s="1">
        <f t="shared" si="1"/>
        <v>4</v>
      </c>
      <c r="D243" s="2" t="s">
        <v>65</v>
      </c>
      <c r="E243" s="6">
        <f t="shared" si="2"/>
        <v>2</v>
      </c>
      <c r="F243" s="6" t="s">
        <v>30</v>
      </c>
      <c r="G243" s="6" t="s">
        <v>18</v>
      </c>
      <c r="H243" s="6" t="s">
        <v>92</v>
      </c>
      <c r="I243" s="6" t="s">
        <v>122</v>
      </c>
      <c r="K243" s="3" t="b">
        <f t="shared" si="3"/>
        <v>0</v>
      </c>
      <c r="L243" s="3">
        <v>500.0</v>
      </c>
      <c r="M243" s="3">
        <v>1.0</v>
      </c>
      <c r="N243" s="7">
        <v>1500.0</v>
      </c>
      <c r="O243" s="7">
        <f t="shared" si="31"/>
        <v>1500</v>
      </c>
    </row>
    <row r="244">
      <c r="A244" s="6">
        <v>2025.0</v>
      </c>
      <c r="B244" s="6" t="s">
        <v>124</v>
      </c>
      <c r="C244" s="1">
        <f t="shared" si="1"/>
        <v>4</v>
      </c>
      <c r="D244" s="2" t="s">
        <v>65</v>
      </c>
      <c r="E244" s="6">
        <f t="shared" si="2"/>
        <v>2</v>
      </c>
      <c r="F244" s="6" t="s">
        <v>30</v>
      </c>
      <c r="G244" s="6" t="s">
        <v>18</v>
      </c>
      <c r="H244" s="6" t="s">
        <v>76</v>
      </c>
      <c r="I244" s="6" t="s">
        <v>77</v>
      </c>
      <c r="K244" s="3" t="b">
        <f t="shared" si="3"/>
        <v>0</v>
      </c>
      <c r="L244" s="3">
        <v>570.0</v>
      </c>
      <c r="M244" s="3">
        <v>1.0</v>
      </c>
      <c r="N244" s="7">
        <v>6900.0</v>
      </c>
      <c r="O244" s="7">
        <f t="shared" si="31"/>
        <v>6900</v>
      </c>
    </row>
    <row r="245">
      <c r="A245" s="6">
        <v>2025.0</v>
      </c>
      <c r="B245" s="6" t="s">
        <v>124</v>
      </c>
      <c r="C245" s="1">
        <f t="shared" si="1"/>
        <v>4</v>
      </c>
      <c r="D245" s="2" t="s">
        <v>65</v>
      </c>
      <c r="E245" s="6">
        <f t="shared" si="2"/>
        <v>2</v>
      </c>
      <c r="F245" s="6" t="s">
        <v>30</v>
      </c>
      <c r="G245" s="6" t="s">
        <v>18</v>
      </c>
      <c r="H245" s="6" t="s">
        <v>31</v>
      </c>
      <c r="I245" s="6" t="s">
        <v>105</v>
      </c>
      <c r="K245" s="3" t="b">
        <f t="shared" si="3"/>
        <v>0</v>
      </c>
      <c r="L245" s="3">
        <v>500.0</v>
      </c>
      <c r="M245" s="3">
        <v>1.0</v>
      </c>
      <c r="N245" s="7">
        <v>6950.0</v>
      </c>
      <c r="O245" s="7">
        <f t="shared" si="31"/>
        <v>6950</v>
      </c>
    </row>
    <row r="246">
      <c r="A246" s="6">
        <v>2025.0</v>
      </c>
      <c r="B246" s="6" t="s">
        <v>134</v>
      </c>
      <c r="C246" s="1">
        <f t="shared" si="1"/>
        <v>5</v>
      </c>
      <c r="D246" s="2" t="s">
        <v>16</v>
      </c>
      <c r="E246" s="6">
        <f t="shared" si="2"/>
        <v>1</v>
      </c>
      <c r="F246" s="6" t="s">
        <v>17</v>
      </c>
      <c r="G246" s="6" t="s">
        <v>83</v>
      </c>
      <c r="H246" s="6" t="s">
        <v>89</v>
      </c>
      <c r="I246" s="6" t="s">
        <v>91</v>
      </c>
      <c r="K246" s="3" t="b">
        <f t="shared" si="3"/>
        <v>0</v>
      </c>
      <c r="L246" s="8"/>
      <c r="M246" s="6">
        <v>1.0</v>
      </c>
      <c r="N246" s="9">
        <v>4570.0</v>
      </c>
      <c r="O246" s="7">
        <f t="shared" si="31"/>
        <v>4570</v>
      </c>
    </row>
    <row r="247">
      <c r="A247" s="6">
        <v>2025.0</v>
      </c>
      <c r="B247" s="6" t="s">
        <v>134</v>
      </c>
      <c r="C247" s="1">
        <f t="shared" si="1"/>
        <v>5</v>
      </c>
      <c r="D247" s="2" t="s">
        <v>16</v>
      </c>
      <c r="E247" s="6">
        <f t="shared" si="2"/>
        <v>1</v>
      </c>
      <c r="F247" s="6" t="s">
        <v>17</v>
      </c>
      <c r="G247" s="6" t="s">
        <v>18</v>
      </c>
      <c r="H247" s="6" t="s">
        <v>76</v>
      </c>
      <c r="I247" s="6" t="s">
        <v>120</v>
      </c>
      <c r="K247" s="3" t="b">
        <f t="shared" si="3"/>
        <v>0</v>
      </c>
      <c r="L247" s="8"/>
      <c r="M247" s="6">
        <v>1.0</v>
      </c>
      <c r="N247" s="10">
        <v>3400.0</v>
      </c>
      <c r="O247" s="7">
        <f t="shared" si="31"/>
        <v>3400</v>
      </c>
    </row>
    <row r="248">
      <c r="A248" s="6">
        <v>2025.0</v>
      </c>
      <c r="B248" s="6" t="s">
        <v>134</v>
      </c>
      <c r="C248" s="1">
        <f t="shared" si="1"/>
        <v>5</v>
      </c>
      <c r="D248" s="2" t="s">
        <v>16</v>
      </c>
      <c r="E248" s="6">
        <f t="shared" si="2"/>
        <v>1</v>
      </c>
      <c r="F248" s="6" t="s">
        <v>17</v>
      </c>
      <c r="G248" s="6" t="s">
        <v>18</v>
      </c>
      <c r="H248" s="6" t="s">
        <v>27</v>
      </c>
      <c r="I248" s="6" t="s">
        <v>135</v>
      </c>
      <c r="K248" s="3" t="b">
        <f t="shared" si="3"/>
        <v>0</v>
      </c>
      <c r="L248" s="8"/>
      <c r="M248" s="6">
        <v>1.0</v>
      </c>
      <c r="N248" s="10">
        <v>1800.0</v>
      </c>
      <c r="O248" s="7">
        <f t="shared" si="31"/>
        <v>1800</v>
      </c>
    </row>
    <row r="249">
      <c r="A249" s="6">
        <v>2025.0</v>
      </c>
      <c r="B249" s="6" t="s">
        <v>134</v>
      </c>
      <c r="C249" s="1">
        <f t="shared" si="1"/>
        <v>5</v>
      </c>
      <c r="D249" s="2" t="s">
        <v>16</v>
      </c>
      <c r="E249" s="6">
        <f t="shared" si="2"/>
        <v>1</v>
      </c>
      <c r="F249" s="6" t="s">
        <v>17</v>
      </c>
      <c r="G249" s="6" t="s">
        <v>18</v>
      </c>
      <c r="H249" s="6" t="s">
        <v>94</v>
      </c>
      <c r="I249" s="6" t="s">
        <v>95</v>
      </c>
      <c r="K249" s="3" t="b">
        <f t="shared" si="3"/>
        <v>1</v>
      </c>
      <c r="L249" s="8"/>
      <c r="M249" s="6">
        <v>1.0</v>
      </c>
      <c r="N249" s="9">
        <v>6450.0</v>
      </c>
      <c r="O249" s="7">
        <f t="shared" si="31"/>
        <v>6450</v>
      </c>
    </row>
    <row r="250">
      <c r="A250" s="6">
        <v>2025.0</v>
      </c>
      <c r="B250" s="6" t="s">
        <v>134</v>
      </c>
      <c r="C250" s="1">
        <f t="shared" si="1"/>
        <v>5</v>
      </c>
      <c r="D250" s="2" t="s">
        <v>16</v>
      </c>
      <c r="E250" s="6">
        <f t="shared" si="2"/>
        <v>1</v>
      </c>
      <c r="F250" s="6" t="s">
        <v>17</v>
      </c>
      <c r="G250" s="6" t="s">
        <v>18</v>
      </c>
      <c r="H250" s="6" t="s">
        <v>85</v>
      </c>
      <c r="I250" s="6" t="s">
        <v>88</v>
      </c>
      <c r="K250" s="3" t="b">
        <f t="shared" si="3"/>
        <v>0</v>
      </c>
      <c r="L250" s="8"/>
      <c r="M250" s="6">
        <v>1.0</v>
      </c>
      <c r="N250" s="10">
        <v>1200.0</v>
      </c>
      <c r="O250" s="7">
        <f t="shared" si="31"/>
        <v>1200</v>
      </c>
    </row>
    <row r="251">
      <c r="A251" s="6">
        <v>2025.0</v>
      </c>
      <c r="B251" s="6" t="s">
        <v>134</v>
      </c>
      <c r="C251" s="1">
        <f t="shared" si="1"/>
        <v>5</v>
      </c>
      <c r="D251" s="2" t="s">
        <v>16</v>
      </c>
      <c r="E251" s="6">
        <f t="shared" si="2"/>
        <v>1</v>
      </c>
      <c r="F251" s="6" t="s">
        <v>17</v>
      </c>
      <c r="G251" s="6" t="s">
        <v>79</v>
      </c>
      <c r="H251" s="6" t="s">
        <v>96</v>
      </c>
      <c r="I251" s="6" t="s">
        <v>97</v>
      </c>
      <c r="K251" s="3" t="b">
        <f t="shared" si="3"/>
        <v>0</v>
      </c>
      <c r="L251" s="8"/>
      <c r="M251" s="6">
        <v>1.0</v>
      </c>
      <c r="N251" s="10">
        <v>5350.0</v>
      </c>
      <c r="O251" s="7">
        <f t="shared" si="31"/>
        <v>5350</v>
      </c>
    </row>
    <row r="252">
      <c r="A252" s="6">
        <v>2025.0</v>
      </c>
      <c r="B252" s="6" t="s">
        <v>134</v>
      </c>
      <c r="C252" s="1">
        <f t="shared" si="1"/>
        <v>5</v>
      </c>
      <c r="D252" s="2" t="s">
        <v>16</v>
      </c>
      <c r="E252" s="6">
        <f t="shared" si="2"/>
        <v>1</v>
      </c>
      <c r="F252" s="6" t="s">
        <v>17</v>
      </c>
      <c r="G252" s="6" t="s">
        <v>18</v>
      </c>
      <c r="H252" s="6" t="s">
        <v>37</v>
      </c>
      <c r="I252" s="6" t="s">
        <v>87</v>
      </c>
      <c r="K252" s="3" t="b">
        <f t="shared" si="3"/>
        <v>0</v>
      </c>
      <c r="L252" s="8"/>
      <c r="M252" s="6">
        <v>2.0</v>
      </c>
      <c r="N252" s="10">
        <v>6990.0</v>
      </c>
      <c r="O252" s="7">
        <f t="shared" si="31"/>
        <v>13980</v>
      </c>
    </row>
    <row r="253">
      <c r="A253" s="6">
        <v>2025.0</v>
      </c>
      <c r="B253" s="6" t="s">
        <v>134</v>
      </c>
      <c r="C253" s="1">
        <f t="shared" si="1"/>
        <v>5</v>
      </c>
      <c r="D253" s="2" t="s">
        <v>16</v>
      </c>
      <c r="E253" s="6">
        <f t="shared" si="2"/>
        <v>1</v>
      </c>
      <c r="F253" s="6" t="s">
        <v>17</v>
      </c>
      <c r="G253" s="6" t="s">
        <v>18</v>
      </c>
      <c r="H253" s="6" t="s">
        <v>24</v>
      </c>
      <c r="I253" s="6" t="s">
        <v>136</v>
      </c>
      <c r="K253" s="3" t="b">
        <f t="shared" si="3"/>
        <v>0</v>
      </c>
      <c r="L253" s="8"/>
      <c r="M253" s="6">
        <v>1.0</v>
      </c>
      <c r="N253" s="10">
        <v>9990.0</v>
      </c>
      <c r="O253" s="7">
        <f t="shared" si="31"/>
        <v>9990</v>
      </c>
    </row>
    <row r="254">
      <c r="A254" s="6">
        <v>2025.0</v>
      </c>
      <c r="B254" s="6" t="s">
        <v>134</v>
      </c>
      <c r="C254" s="1">
        <f t="shared" si="1"/>
        <v>5</v>
      </c>
      <c r="D254" s="2" t="s">
        <v>16</v>
      </c>
      <c r="E254" s="6">
        <f t="shared" si="2"/>
        <v>1</v>
      </c>
      <c r="F254" s="6" t="s">
        <v>17</v>
      </c>
      <c r="G254" s="6" t="s">
        <v>18</v>
      </c>
      <c r="H254" s="6" t="s">
        <v>94</v>
      </c>
      <c r="I254" s="6" t="s">
        <v>119</v>
      </c>
      <c r="K254" s="3" t="b">
        <f t="shared" si="3"/>
        <v>0</v>
      </c>
      <c r="L254" s="8"/>
      <c r="M254" s="6">
        <v>1.0</v>
      </c>
      <c r="N254" s="10">
        <v>4950.0</v>
      </c>
      <c r="O254" s="7">
        <f t="shared" si="31"/>
        <v>4950</v>
      </c>
    </row>
    <row r="255">
      <c r="A255" s="6">
        <v>2025.0</v>
      </c>
      <c r="B255" s="6" t="s">
        <v>134</v>
      </c>
      <c r="C255" s="1">
        <f t="shared" si="1"/>
        <v>5</v>
      </c>
      <c r="D255" s="2" t="s">
        <v>16</v>
      </c>
      <c r="E255" s="6">
        <f t="shared" si="2"/>
        <v>1</v>
      </c>
      <c r="F255" s="6" t="s">
        <v>17</v>
      </c>
      <c r="G255" s="6" t="s">
        <v>18</v>
      </c>
      <c r="H255" s="6" t="s">
        <v>94</v>
      </c>
      <c r="I255" s="6" t="s">
        <v>95</v>
      </c>
      <c r="K255" s="3" t="b">
        <f t="shared" si="3"/>
        <v>1</v>
      </c>
      <c r="L255" s="8"/>
      <c r="M255" s="6">
        <v>1.0</v>
      </c>
      <c r="N255" s="7">
        <v>4950.0</v>
      </c>
      <c r="O255" s="7">
        <f t="shared" si="31"/>
        <v>4950</v>
      </c>
    </row>
    <row r="256">
      <c r="A256" s="6">
        <v>2025.0</v>
      </c>
      <c r="B256" s="6" t="s">
        <v>134</v>
      </c>
      <c r="C256" s="1">
        <f t="shared" si="1"/>
        <v>5</v>
      </c>
      <c r="D256" s="2" t="s">
        <v>16</v>
      </c>
      <c r="E256" s="6">
        <f t="shared" si="2"/>
        <v>1</v>
      </c>
      <c r="F256" s="6" t="s">
        <v>17</v>
      </c>
      <c r="G256" s="6" t="s">
        <v>18</v>
      </c>
      <c r="H256" s="6" t="s">
        <v>37</v>
      </c>
      <c r="I256" s="6" t="s">
        <v>98</v>
      </c>
      <c r="K256" s="3" t="b">
        <f t="shared" si="3"/>
        <v>0</v>
      </c>
      <c r="L256" s="8"/>
      <c r="M256" s="6">
        <v>1.0</v>
      </c>
      <c r="N256" s="9">
        <v>8700.0</v>
      </c>
      <c r="O256" s="7">
        <f t="shared" si="31"/>
        <v>8700</v>
      </c>
    </row>
    <row r="257">
      <c r="A257" s="6">
        <v>2025.0</v>
      </c>
      <c r="B257" s="6" t="s">
        <v>134</v>
      </c>
      <c r="C257" s="1">
        <f t="shared" si="1"/>
        <v>5</v>
      </c>
      <c r="D257" s="2" t="s">
        <v>16</v>
      </c>
      <c r="E257" s="6">
        <f t="shared" si="2"/>
        <v>1</v>
      </c>
      <c r="F257" s="6" t="s">
        <v>17</v>
      </c>
      <c r="G257" s="6" t="s">
        <v>18</v>
      </c>
      <c r="H257" s="6" t="s">
        <v>92</v>
      </c>
      <c r="I257" s="6" t="s">
        <v>93</v>
      </c>
      <c r="K257" s="3" t="b">
        <f t="shared" si="3"/>
        <v>0</v>
      </c>
      <c r="L257" s="8"/>
      <c r="M257" s="6">
        <v>3.0</v>
      </c>
      <c r="N257" s="7">
        <v>1990.0</v>
      </c>
      <c r="O257" s="7">
        <f t="shared" si="31"/>
        <v>5970</v>
      </c>
    </row>
    <row r="258">
      <c r="A258" s="6">
        <v>2025.0</v>
      </c>
      <c r="B258" s="6" t="s">
        <v>134</v>
      </c>
      <c r="C258" s="1">
        <f t="shared" si="1"/>
        <v>5</v>
      </c>
      <c r="D258" s="2" t="s">
        <v>16</v>
      </c>
      <c r="E258" s="6">
        <f t="shared" si="2"/>
        <v>1</v>
      </c>
      <c r="F258" s="6" t="s">
        <v>17</v>
      </c>
      <c r="G258" s="6" t="s">
        <v>18</v>
      </c>
      <c r="H258" s="6" t="s">
        <v>19</v>
      </c>
      <c r="I258" s="6" t="s">
        <v>137</v>
      </c>
      <c r="K258" s="3" t="b">
        <f t="shared" si="3"/>
        <v>0</v>
      </c>
      <c r="L258" s="8"/>
      <c r="M258" s="6">
        <v>1.0</v>
      </c>
      <c r="N258" s="10">
        <v>4490.0</v>
      </c>
      <c r="O258" s="7">
        <f t="shared" si="31"/>
        <v>4490</v>
      </c>
    </row>
    <row r="259">
      <c r="A259" s="6">
        <v>2025.0</v>
      </c>
      <c r="B259" s="6" t="s">
        <v>134</v>
      </c>
      <c r="C259" s="1">
        <f t="shared" si="1"/>
        <v>5</v>
      </c>
      <c r="D259" s="2" t="s">
        <v>16</v>
      </c>
      <c r="E259" s="6">
        <f t="shared" si="2"/>
        <v>1</v>
      </c>
      <c r="F259" s="6" t="s">
        <v>17</v>
      </c>
      <c r="G259" s="6" t="s">
        <v>18</v>
      </c>
      <c r="H259" s="6" t="s">
        <v>19</v>
      </c>
      <c r="I259" s="6" t="s">
        <v>138</v>
      </c>
      <c r="K259" s="3" t="b">
        <f t="shared" si="3"/>
        <v>0</v>
      </c>
      <c r="L259" s="8"/>
      <c r="M259" s="6">
        <v>2.0</v>
      </c>
      <c r="N259" s="7">
        <v>2300.0</v>
      </c>
      <c r="O259" s="7">
        <f t="shared" si="31"/>
        <v>4600</v>
      </c>
    </row>
    <row r="260">
      <c r="A260" s="6">
        <v>2025.0</v>
      </c>
      <c r="B260" s="6" t="s">
        <v>134</v>
      </c>
      <c r="C260" s="1">
        <f t="shared" si="1"/>
        <v>5</v>
      </c>
      <c r="D260" s="2" t="s">
        <v>16</v>
      </c>
      <c r="E260" s="6">
        <f t="shared" si="2"/>
        <v>1</v>
      </c>
      <c r="F260" s="6" t="s">
        <v>17</v>
      </c>
      <c r="G260" s="6" t="s">
        <v>18</v>
      </c>
      <c r="H260" s="6" t="s">
        <v>94</v>
      </c>
      <c r="I260" s="6" t="s">
        <v>103</v>
      </c>
      <c r="K260" s="3" t="b">
        <f t="shared" si="3"/>
        <v>0</v>
      </c>
      <c r="L260" s="8"/>
      <c r="M260" s="6">
        <v>3.0</v>
      </c>
      <c r="N260" s="7">
        <v>1950.0</v>
      </c>
      <c r="O260" s="7">
        <f t="shared" si="31"/>
        <v>5850</v>
      </c>
    </row>
    <row r="261">
      <c r="A261" s="6">
        <v>2025.0</v>
      </c>
      <c r="B261" s="6" t="s">
        <v>134</v>
      </c>
      <c r="C261" s="1">
        <f t="shared" si="1"/>
        <v>5</v>
      </c>
      <c r="D261" s="2" t="s">
        <v>16</v>
      </c>
      <c r="E261" s="6">
        <f t="shared" si="2"/>
        <v>1</v>
      </c>
      <c r="F261" s="6" t="s">
        <v>17</v>
      </c>
      <c r="G261" s="6" t="s">
        <v>18</v>
      </c>
      <c r="H261" s="6" t="s">
        <v>19</v>
      </c>
      <c r="I261" s="6" t="s">
        <v>104</v>
      </c>
      <c r="K261" s="3" t="b">
        <f t="shared" si="3"/>
        <v>0</v>
      </c>
      <c r="L261" s="8"/>
      <c r="M261" s="6">
        <v>1.0</v>
      </c>
      <c r="N261" s="7">
        <v>7990.0</v>
      </c>
      <c r="O261" s="7">
        <f t="shared" si="31"/>
        <v>7990</v>
      </c>
    </row>
    <row r="262">
      <c r="A262" s="6">
        <v>2025.0</v>
      </c>
      <c r="B262" s="6" t="s">
        <v>134</v>
      </c>
      <c r="C262" s="1">
        <f t="shared" si="1"/>
        <v>5</v>
      </c>
      <c r="D262" s="2" t="s">
        <v>16</v>
      </c>
      <c r="E262" s="6">
        <f t="shared" si="2"/>
        <v>1</v>
      </c>
      <c r="F262" s="6" t="s">
        <v>17</v>
      </c>
      <c r="G262" s="6" t="s">
        <v>18</v>
      </c>
      <c r="H262" s="6" t="s">
        <v>19</v>
      </c>
      <c r="I262" s="6" t="s">
        <v>22</v>
      </c>
      <c r="K262" s="3" t="b">
        <f t="shared" si="3"/>
        <v>0</v>
      </c>
      <c r="L262" s="3">
        <v>900.0</v>
      </c>
      <c r="M262" s="6">
        <v>2.0</v>
      </c>
      <c r="N262" s="7">
        <v>3750.0</v>
      </c>
      <c r="O262" s="7">
        <f t="shared" si="31"/>
        <v>7500</v>
      </c>
    </row>
    <row r="263">
      <c r="A263" s="6">
        <v>2025.0</v>
      </c>
      <c r="B263" s="6" t="s">
        <v>134</v>
      </c>
      <c r="C263" s="1">
        <f t="shared" si="1"/>
        <v>5</v>
      </c>
      <c r="D263" s="2" t="s">
        <v>16</v>
      </c>
      <c r="E263" s="6">
        <f t="shared" si="2"/>
        <v>1</v>
      </c>
      <c r="F263" s="6" t="s">
        <v>30</v>
      </c>
      <c r="G263" s="6" t="s">
        <v>18</v>
      </c>
      <c r="H263" s="6" t="s">
        <v>37</v>
      </c>
      <c r="I263" s="6" t="s">
        <v>67</v>
      </c>
      <c r="K263" s="3" t="b">
        <f t="shared" si="3"/>
        <v>0</v>
      </c>
      <c r="L263" s="3">
        <v>1158.0</v>
      </c>
      <c r="N263" s="7">
        <v>16980.0</v>
      </c>
      <c r="O263" s="7">
        <f t="shared" ref="O263:O285" si="32">N263*L263/1000</f>
        <v>19662.84</v>
      </c>
    </row>
    <row r="264">
      <c r="A264" s="6">
        <v>2025.0</v>
      </c>
      <c r="B264" s="6" t="s">
        <v>134</v>
      </c>
      <c r="C264" s="1">
        <f t="shared" si="1"/>
        <v>5</v>
      </c>
      <c r="D264" s="2" t="s">
        <v>16</v>
      </c>
      <c r="E264" s="6">
        <f t="shared" si="2"/>
        <v>1</v>
      </c>
      <c r="F264" s="6" t="s">
        <v>30</v>
      </c>
      <c r="G264" s="6" t="s">
        <v>18</v>
      </c>
      <c r="H264" s="6" t="s">
        <v>37</v>
      </c>
      <c r="I264" s="6" t="s">
        <v>68</v>
      </c>
      <c r="K264" s="3" t="b">
        <f t="shared" si="3"/>
        <v>0</v>
      </c>
      <c r="L264" s="3">
        <v>3044.0</v>
      </c>
      <c r="N264" s="7">
        <v>26380.0</v>
      </c>
      <c r="O264" s="7">
        <f t="shared" si="32"/>
        <v>80300.72</v>
      </c>
    </row>
    <row r="265">
      <c r="A265" s="6">
        <v>2025.0</v>
      </c>
      <c r="B265" s="6" t="s">
        <v>134</v>
      </c>
      <c r="C265" s="1">
        <f t="shared" si="1"/>
        <v>5</v>
      </c>
      <c r="D265" s="2" t="s">
        <v>16</v>
      </c>
      <c r="E265" s="6">
        <f t="shared" si="2"/>
        <v>1</v>
      </c>
      <c r="F265" s="6" t="s">
        <v>30</v>
      </c>
      <c r="G265" s="6" t="s">
        <v>18</v>
      </c>
      <c r="H265" s="6" t="s">
        <v>37</v>
      </c>
      <c r="I265" s="6" t="s">
        <v>45</v>
      </c>
      <c r="K265" s="3" t="b">
        <f t="shared" si="3"/>
        <v>0</v>
      </c>
      <c r="L265" s="3">
        <v>762.0</v>
      </c>
      <c r="N265" s="7">
        <v>17380.0</v>
      </c>
      <c r="O265" s="7">
        <f t="shared" si="32"/>
        <v>13243.56</v>
      </c>
    </row>
    <row r="266">
      <c r="A266" s="6">
        <v>2025.0</v>
      </c>
      <c r="B266" s="6" t="s">
        <v>134</v>
      </c>
      <c r="C266" s="1">
        <f t="shared" si="1"/>
        <v>5</v>
      </c>
      <c r="D266" s="2" t="s">
        <v>16</v>
      </c>
      <c r="E266" s="6">
        <f t="shared" si="2"/>
        <v>1</v>
      </c>
      <c r="F266" s="6" t="s">
        <v>30</v>
      </c>
      <c r="G266" s="6" t="s">
        <v>18</v>
      </c>
      <c r="H266" s="6" t="s">
        <v>37</v>
      </c>
      <c r="I266" s="6" t="s">
        <v>123</v>
      </c>
      <c r="K266" s="3" t="b">
        <f t="shared" si="3"/>
        <v>0</v>
      </c>
      <c r="L266" s="3">
        <v>786.0</v>
      </c>
      <c r="N266" s="7">
        <v>26980.0</v>
      </c>
      <c r="O266" s="7">
        <f t="shared" si="32"/>
        <v>21206.28</v>
      </c>
    </row>
    <row r="267">
      <c r="A267" s="6">
        <v>2025.0</v>
      </c>
      <c r="B267" s="6" t="s">
        <v>134</v>
      </c>
      <c r="C267" s="1">
        <f t="shared" si="1"/>
        <v>5</v>
      </c>
      <c r="D267" s="2" t="s">
        <v>16</v>
      </c>
      <c r="E267" s="6">
        <f t="shared" si="2"/>
        <v>1</v>
      </c>
      <c r="F267" s="6" t="s">
        <v>30</v>
      </c>
      <c r="G267" s="6" t="s">
        <v>18</v>
      </c>
      <c r="H267" s="6" t="s">
        <v>37</v>
      </c>
      <c r="I267" s="6" t="s">
        <v>60</v>
      </c>
      <c r="K267" s="3" t="b">
        <f t="shared" si="3"/>
        <v>0</v>
      </c>
      <c r="L267" s="3">
        <v>3245.0</v>
      </c>
      <c r="N267" s="7">
        <v>7900.0</v>
      </c>
      <c r="O267" s="7">
        <f t="shared" si="32"/>
        <v>25635.5</v>
      </c>
    </row>
    <row r="268">
      <c r="A268" s="6">
        <v>2025.0</v>
      </c>
      <c r="B268" s="6" t="s">
        <v>134</v>
      </c>
      <c r="C268" s="1">
        <f t="shared" si="1"/>
        <v>5</v>
      </c>
      <c r="D268" s="2" t="s">
        <v>16</v>
      </c>
      <c r="E268" s="6">
        <f t="shared" si="2"/>
        <v>1</v>
      </c>
      <c r="F268" s="6" t="s">
        <v>30</v>
      </c>
      <c r="G268" s="6" t="s">
        <v>18</v>
      </c>
      <c r="H268" s="6" t="s">
        <v>37</v>
      </c>
      <c r="I268" s="6" t="s">
        <v>69</v>
      </c>
      <c r="K268" s="3" t="b">
        <f t="shared" si="3"/>
        <v>0</v>
      </c>
      <c r="L268" s="3">
        <v>1370.0</v>
      </c>
      <c r="N268" s="7">
        <v>12580.0</v>
      </c>
      <c r="O268" s="7">
        <f t="shared" si="32"/>
        <v>17234.6</v>
      </c>
    </row>
    <row r="269">
      <c r="A269" s="6">
        <v>2025.0</v>
      </c>
      <c r="B269" s="6" t="s">
        <v>134</v>
      </c>
      <c r="C269" s="1">
        <f t="shared" si="1"/>
        <v>5</v>
      </c>
      <c r="D269" s="2" t="s">
        <v>16</v>
      </c>
      <c r="E269" s="6">
        <f t="shared" si="2"/>
        <v>1</v>
      </c>
      <c r="F269" s="6" t="s">
        <v>30</v>
      </c>
      <c r="G269" s="6" t="s">
        <v>18</v>
      </c>
      <c r="H269" s="6" t="s">
        <v>49</v>
      </c>
      <c r="I269" s="6" t="s">
        <v>74</v>
      </c>
      <c r="K269" s="3" t="b">
        <f t="shared" si="3"/>
        <v>0</v>
      </c>
      <c r="L269" s="3">
        <v>2270.0</v>
      </c>
      <c r="N269" s="7">
        <v>1780.0</v>
      </c>
      <c r="O269" s="7">
        <f t="shared" si="32"/>
        <v>4040.6</v>
      </c>
    </row>
    <row r="270">
      <c r="A270" s="6">
        <v>2025.0</v>
      </c>
      <c r="B270" s="6" t="s">
        <v>134</v>
      </c>
      <c r="C270" s="1">
        <f t="shared" si="1"/>
        <v>5</v>
      </c>
      <c r="D270" s="2" t="s">
        <v>16</v>
      </c>
      <c r="E270" s="6">
        <f t="shared" si="2"/>
        <v>1</v>
      </c>
      <c r="F270" s="6" t="s">
        <v>30</v>
      </c>
      <c r="G270" s="6" t="s">
        <v>18</v>
      </c>
      <c r="H270" s="6" t="s">
        <v>49</v>
      </c>
      <c r="I270" s="6" t="s">
        <v>50</v>
      </c>
      <c r="K270" s="3" t="b">
        <f t="shared" si="3"/>
        <v>0</v>
      </c>
      <c r="L270" s="3">
        <v>3368.0</v>
      </c>
      <c r="N270" s="7">
        <v>3200.0</v>
      </c>
      <c r="O270" s="7">
        <f t="shared" si="32"/>
        <v>10777.6</v>
      </c>
    </row>
    <row r="271">
      <c r="A271" s="6">
        <v>2025.0</v>
      </c>
      <c r="B271" s="6" t="s">
        <v>134</v>
      </c>
      <c r="C271" s="1">
        <f t="shared" si="1"/>
        <v>5</v>
      </c>
      <c r="D271" s="2" t="s">
        <v>16</v>
      </c>
      <c r="E271" s="6">
        <f t="shared" si="2"/>
        <v>1</v>
      </c>
      <c r="F271" s="6" t="s">
        <v>30</v>
      </c>
      <c r="G271" s="6" t="s">
        <v>18</v>
      </c>
      <c r="H271" s="6" t="s">
        <v>49</v>
      </c>
      <c r="I271" s="6" t="s">
        <v>62</v>
      </c>
      <c r="K271" s="3" t="b">
        <f t="shared" si="3"/>
        <v>0</v>
      </c>
      <c r="L271" s="3">
        <v>2702.0</v>
      </c>
      <c r="N271" s="7">
        <v>6300.0</v>
      </c>
      <c r="O271" s="7">
        <f t="shared" si="32"/>
        <v>17022.6</v>
      </c>
    </row>
    <row r="272">
      <c r="A272" s="6">
        <v>2025.0</v>
      </c>
      <c r="B272" s="6" t="s">
        <v>134</v>
      </c>
      <c r="C272" s="1">
        <f t="shared" si="1"/>
        <v>5</v>
      </c>
      <c r="D272" s="2" t="s">
        <v>16</v>
      </c>
      <c r="E272" s="6">
        <f t="shared" si="2"/>
        <v>1</v>
      </c>
      <c r="F272" s="6" t="s">
        <v>30</v>
      </c>
      <c r="G272" s="6" t="s">
        <v>18</v>
      </c>
      <c r="H272" s="6" t="s">
        <v>33</v>
      </c>
      <c r="I272" s="6" t="s">
        <v>139</v>
      </c>
      <c r="K272" s="3" t="b">
        <f t="shared" si="3"/>
        <v>1</v>
      </c>
      <c r="L272" s="3">
        <v>1772.0</v>
      </c>
      <c r="N272" s="7">
        <v>4200.0</v>
      </c>
      <c r="O272" s="7">
        <f t="shared" si="32"/>
        <v>7442.4</v>
      </c>
    </row>
    <row r="273">
      <c r="A273" s="6">
        <v>2025.0</v>
      </c>
      <c r="B273" s="6" t="s">
        <v>134</v>
      </c>
      <c r="C273" s="1">
        <f t="shared" si="1"/>
        <v>5</v>
      </c>
      <c r="D273" s="2" t="s">
        <v>16</v>
      </c>
      <c r="E273" s="6">
        <f t="shared" si="2"/>
        <v>1</v>
      </c>
      <c r="F273" s="6" t="s">
        <v>30</v>
      </c>
      <c r="G273" s="6" t="s">
        <v>18</v>
      </c>
      <c r="H273" s="6" t="s">
        <v>33</v>
      </c>
      <c r="I273" s="6" t="s">
        <v>70</v>
      </c>
      <c r="K273" s="3" t="b">
        <f t="shared" si="3"/>
        <v>0</v>
      </c>
      <c r="L273" s="3">
        <v>1880.0</v>
      </c>
      <c r="N273" s="7">
        <v>3100.0</v>
      </c>
      <c r="O273" s="7">
        <f t="shared" si="32"/>
        <v>5828</v>
      </c>
    </row>
    <row r="274">
      <c r="A274" s="6">
        <v>2025.0</v>
      </c>
      <c r="B274" s="6" t="s">
        <v>134</v>
      </c>
      <c r="C274" s="1">
        <f t="shared" si="1"/>
        <v>5</v>
      </c>
      <c r="D274" s="2" t="s">
        <v>16</v>
      </c>
      <c r="E274" s="6">
        <f t="shared" si="2"/>
        <v>1</v>
      </c>
      <c r="F274" s="6" t="s">
        <v>30</v>
      </c>
      <c r="G274" s="6" t="s">
        <v>18</v>
      </c>
      <c r="H274" s="6" t="s">
        <v>49</v>
      </c>
      <c r="I274" s="6" t="s">
        <v>57</v>
      </c>
      <c r="K274" s="3" t="b">
        <f t="shared" si="3"/>
        <v>0</v>
      </c>
      <c r="L274" s="3">
        <v>2710.0</v>
      </c>
      <c r="N274" s="7">
        <v>1800.0</v>
      </c>
      <c r="O274" s="7">
        <f t="shared" si="32"/>
        <v>4878</v>
      </c>
    </row>
    <row r="275">
      <c r="A275" s="6">
        <v>2025.0</v>
      </c>
      <c r="B275" s="6" t="s">
        <v>134</v>
      </c>
      <c r="C275" s="1">
        <f t="shared" si="1"/>
        <v>5</v>
      </c>
      <c r="D275" s="2" t="s">
        <v>16</v>
      </c>
      <c r="E275" s="6">
        <f t="shared" si="2"/>
        <v>1</v>
      </c>
      <c r="F275" s="6" t="s">
        <v>30</v>
      </c>
      <c r="G275" s="6" t="s">
        <v>18</v>
      </c>
      <c r="H275" s="6" t="s">
        <v>49</v>
      </c>
      <c r="I275" s="6" t="s">
        <v>63</v>
      </c>
      <c r="K275" s="3" t="b">
        <f t="shared" si="3"/>
        <v>0</v>
      </c>
      <c r="L275" s="3">
        <v>2406.0</v>
      </c>
      <c r="N275" s="7">
        <v>1980.0</v>
      </c>
      <c r="O275" s="7">
        <f t="shared" si="32"/>
        <v>4763.88</v>
      </c>
    </row>
    <row r="276">
      <c r="A276" s="6">
        <v>2025.0</v>
      </c>
      <c r="B276" s="6" t="s">
        <v>134</v>
      </c>
      <c r="C276" s="1">
        <f t="shared" si="1"/>
        <v>5</v>
      </c>
      <c r="D276" s="2" t="s">
        <v>16</v>
      </c>
      <c r="E276" s="6">
        <f t="shared" si="2"/>
        <v>1</v>
      </c>
      <c r="F276" s="6" t="s">
        <v>30</v>
      </c>
      <c r="G276" s="6" t="s">
        <v>18</v>
      </c>
      <c r="H276" s="6" t="s">
        <v>49</v>
      </c>
      <c r="I276" s="6" t="s">
        <v>72</v>
      </c>
      <c r="K276" s="3" t="b">
        <f t="shared" si="3"/>
        <v>0</v>
      </c>
      <c r="L276" s="3">
        <v>834.0</v>
      </c>
      <c r="N276" s="7">
        <v>8200.0</v>
      </c>
      <c r="O276" s="7">
        <f t="shared" si="32"/>
        <v>6838.8</v>
      </c>
    </row>
    <row r="277">
      <c r="A277" s="6">
        <v>2025.0</v>
      </c>
      <c r="B277" s="6" t="s">
        <v>134</v>
      </c>
      <c r="C277" s="1">
        <f t="shared" si="1"/>
        <v>5</v>
      </c>
      <c r="D277" s="2" t="s">
        <v>16</v>
      </c>
      <c r="E277" s="6">
        <f t="shared" si="2"/>
        <v>1</v>
      </c>
      <c r="F277" s="6" t="s">
        <v>30</v>
      </c>
      <c r="G277" s="6" t="s">
        <v>18</v>
      </c>
      <c r="H277" s="6" t="s">
        <v>49</v>
      </c>
      <c r="I277" s="6" t="s">
        <v>71</v>
      </c>
      <c r="K277" s="3" t="b">
        <f t="shared" si="3"/>
        <v>0</v>
      </c>
      <c r="L277" s="3">
        <v>628.0</v>
      </c>
      <c r="N277" s="7">
        <v>6180.0</v>
      </c>
      <c r="O277" s="7">
        <f t="shared" si="32"/>
        <v>3881.04</v>
      </c>
    </row>
    <row r="278">
      <c r="A278" s="6">
        <v>2025.0</v>
      </c>
      <c r="B278" s="6" t="s">
        <v>134</v>
      </c>
      <c r="C278" s="1">
        <f t="shared" si="1"/>
        <v>5</v>
      </c>
      <c r="D278" s="2" t="s">
        <v>16</v>
      </c>
      <c r="E278" s="6">
        <f t="shared" si="2"/>
        <v>1</v>
      </c>
      <c r="F278" s="6" t="s">
        <v>30</v>
      </c>
      <c r="G278" s="6" t="s">
        <v>18</v>
      </c>
      <c r="H278" s="6" t="s">
        <v>49</v>
      </c>
      <c r="I278" s="6" t="s">
        <v>58</v>
      </c>
      <c r="K278" s="3" t="b">
        <f t="shared" si="3"/>
        <v>0</v>
      </c>
      <c r="L278" s="3">
        <v>1210.0</v>
      </c>
      <c r="N278" s="7">
        <v>3700.0</v>
      </c>
      <c r="O278" s="7">
        <f t="shared" si="32"/>
        <v>4477</v>
      </c>
    </row>
    <row r="279">
      <c r="A279" s="6">
        <v>2025.0</v>
      </c>
      <c r="B279" s="6" t="s">
        <v>134</v>
      </c>
      <c r="C279" s="1">
        <f t="shared" si="1"/>
        <v>5</v>
      </c>
      <c r="D279" s="2" t="s">
        <v>16</v>
      </c>
      <c r="E279" s="6">
        <f t="shared" si="2"/>
        <v>1</v>
      </c>
      <c r="F279" s="6" t="s">
        <v>30</v>
      </c>
      <c r="G279" s="6" t="s">
        <v>18</v>
      </c>
      <c r="H279" s="6" t="s">
        <v>33</v>
      </c>
      <c r="I279" s="6" t="s">
        <v>108</v>
      </c>
      <c r="K279" s="3" t="b">
        <f t="shared" si="3"/>
        <v>0</v>
      </c>
      <c r="L279" s="3">
        <v>790.0</v>
      </c>
      <c r="N279" s="7">
        <v>4000.0</v>
      </c>
      <c r="O279" s="7">
        <f t="shared" si="32"/>
        <v>3160</v>
      </c>
    </row>
    <row r="280">
      <c r="A280" s="6">
        <v>2025.0</v>
      </c>
      <c r="B280" s="6" t="s">
        <v>134</v>
      </c>
      <c r="C280" s="1">
        <f t="shared" si="1"/>
        <v>5</v>
      </c>
      <c r="D280" s="2" t="s">
        <v>16</v>
      </c>
      <c r="E280" s="6">
        <f t="shared" si="2"/>
        <v>1</v>
      </c>
      <c r="F280" s="6" t="s">
        <v>30</v>
      </c>
      <c r="G280" s="6" t="s">
        <v>18</v>
      </c>
      <c r="H280" s="6" t="s">
        <v>33</v>
      </c>
      <c r="I280" s="6" t="s">
        <v>139</v>
      </c>
      <c r="K280" s="3" t="b">
        <f t="shared" si="3"/>
        <v>1</v>
      </c>
      <c r="L280" s="3">
        <v>1296.0</v>
      </c>
      <c r="N280" s="7">
        <v>2380.0</v>
      </c>
      <c r="O280" s="7">
        <f t="shared" si="32"/>
        <v>3084.48</v>
      </c>
    </row>
    <row r="281">
      <c r="A281" s="6">
        <v>2025.0</v>
      </c>
      <c r="B281" s="6" t="s">
        <v>134</v>
      </c>
      <c r="C281" s="1">
        <f t="shared" si="1"/>
        <v>5</v>
      </c>
      <c r="D281" s="2" t="s">
        <v>16</v>
      </c>
      <c r="E281" s="6">
        <f t="shared" si="2"/>
        <v>1</v>
      </c>
      <c r="F281" s="6" t="s">
        <v>30</v>
      </c>
      <c r="G281" s="6" t="s">
        <v>18</v>
      </c>
      <c r="H281" s="6" t="s">
        <v>33</v>
      </c>
      <c r="I281" s="6" t="s">
        <v>59</v>
      </c>
      <c r="K281" s="3" t="b">
        <f t="shared" si="3"/>
        <v>0</v>
      </c>
      <c r="L281" s="3">
        <v>1222.0</v>
      </c>
      <c r="N281" s="7">
        <v>3100.0</v>
      </c>
      <c r="O281" s="7">
        <f t="shared" si="32"/>
        <v>3788.2</v>
      </c>
    </row>
    <row r="282">
      <c r="A282" s="6">
        <v>2025.0</v>
      </c>
      <c r="B282" s="6" t="s">
        <v>134</v>
      </c>
      <c r="C282" s="1">
        <f t="shared" si="1"/>
        <v>5</v>
      </c>
      <c r="D282" s="2" t="s">
        <v>16</v>
      </c>
      <c r="E282" s="6">
        <f t="shared" si="2"/>
        <v>1</v>
      </c>
      <c r="F282" s="6" t="s">
        <v>30</v>
      </c>
      <c r="G282" s="6" t="s">
        <v>18</v>
      </c>
      <c r="H282" s="6" t="s">
        <v>33</v>
      </c>
      <c r="I282" s="6" t="s">
        <v>140</v>
      </c>
      <c r="K282" s="3" t="b">
        <f t="shared" si="3"/>
        <v>0</v>
      </c>
      <c r="L282" s="3">
        <v>1156.0</v>
      </c>
      <c r="N282" s="7">
        <v>4780.0</v>
      </c>
      <c r="O282" s="7">
        <f t="shared" si="32"/>
        <v>5525.68</v>
      </c>
    </row>
    <row r="283">
      <c r="A283" s="6">
        <v>2025.0</v>
      </c>
      <c r="B283" s="6" t="s">
        <v>134</v>
      </c>
      <c r="C283" s="1">
        <f t="shared" si="1"/>
        <v>5</v>
      </c>
      <c r="D283" s="2" t="s">
        <v>16</v>
      </c>
      <c r="E283" s="6">
        <f t="shared" si="2"/>
        <v>1</v>
      </c>
      <c r="F283" s="6" t="s">
        <v>30</v>
      </c>
      <c r="G283" s="6" t="s">
        <v>18</v>
      </c>
      <c r="H283" s="6" t="s">
        <v>49</v>
      </c>
      <c r="I283" s="6" t="s">
        <v>131</v>
      </c>
      <c r="K283" s="3" t="b">
        <f t="shared" si="3"/>
        <v>0</v>
      </c>
      <c r="L283" s="3">
        <v>598.0</v>
      </c>
      <c r="N283" s="7">
        <v>4400.0</v>
      </c>
      <c r="O283" s="7">
        <f t="shared" si="32"/>
        <v>2631.2</v>
      </c>
    </row>
    <row r="284">
      <c r="A284" s="6">
        <v>2025.0</v>
      </c>
      <c r="B284" s="6" t="s">
        <v>134</v>
      </c>
      <c r="C284" s="1">
        <f t="shared" si="1"/>
        <v>5</v>
      </c>
      <c r="D284" s="2" t="s">
        <v>16</v>
      </c>
      <c r="E284" s="6">
        <f t="shared" si="2"/>
        <v>1</v>
      </c>
      <c r="F284" s="6" t="s">
        <v>30</v>
      </c>
      <c r="G284" s="6" t="s">
        <v>18</v>
      </c>
      <c r="H284" s="6" t="s">
        <v>27</v>
      </c>
      <c r="I284" s="6" t="s">
        <v>141</v>
      </c>
      <c r="K284" s="3" t="b">
        <f t="shared" si="3"/>
        <v>0</v>
      </c>
      <c r="L284" s="3">
        <v>2124.0</v>
      </c>
      <c r="N284" s="7">
        <v>3000.0</v>
      </c>
      <c r="O284" s="7">
        <f t="shared" si="32"/>
        <v>6372</v>
      </c>
    </row>
    <row r="285">
      <c r="A285" s="6">
        <v>2025.0</v>
      </c>
      <c r="B285" s="6" t="s">
        <v>134</v>
      </c>
      <c r="C285" s="1">
        <f t="shared" si="1"/>
        <v>5</v>
      </c>
      <c r="D285" s="2" t="s">
        <v>16</v>
      </c>
      <c r="E285" s="6">
        <f t="shared" si="2"/>
        <v>1</v>
      </c>
      <c r="F285" s="6" t="s">
        <v>30</v>
      </c>
      <c r="G285" s="6" t="s">
        <v>18</v>
      </c>
      <c r="H285" s="6" t="s">
        <v>49</v>
      </c>
      <c r="I285" s="6" t="s">
        <v>142</v>
      </c>
      <c r="K285" s="3" t="b">
        <f t="shared" si="3"/>
        <v>0</v>
      </c>
      <c r="L285" s="3">
        <v>354.0</v>
      </c>
      <c r="N285" s="7">
        <v>5600.0</v>
      </c>
      <c r="O285" s="7">
        <f t="shared" si="32"/>
        <v>1982.4</v>
      </c>
    </row>
    <row r="286">
      <c r="A286" s="6">
        <v>2025.0</v>
      </c>
      <c r="B286" s="6" t="s">
        <v>134</v>
      </c>
      <c r="C286" s="1">
        <f t="shared" si="1"/>
        <v>5</v>
      </c>
      <c r="D286" s="2" t="s">
        <v>16</v>
      </c>
      <c r="E286" s="6">
        <f t="shared" si="2"/>
        <v>1</v>
      </c>
      <c r="F286" s="6" t="s">
        <v>30</v>
      </c>
      <c r="G286" s="6" t="s">
        <v>18</v>
      </c>
      <c r="H286" s="6" t="s">
        <v>31</v>
      </c>
      <c r="I286" s="6" t="s">
        <v>32</v>
      </c>
      <c r="K286" s="3" t="b">
        <f t="shared" si="3"/>
        <v>0</v>
      </c>
      <c r="L286" s="3">
        <v>900.0</v>
      </c>
      <c r="M286" s="6">
        <v>1.0</v>
      </c>
      <c r="N286" s="7">
        <v>7200.0</v>
      </c>
      <c r="O286" s="7">
        <f t="shared" ref="O286:O308" si="33">N286*M286</f>
        <v>7200</v>
      </c>
    </row>
    <row r="287">
      <c r="A287" s="6">
        <v>2025.0</v>
      </c>
      <c r="B287" s="6" t="s">
        <v>134</v>
      </c>
      <c r="C287" s="1">
        <f t="shared" si="1"/>
        <v>5</v>
      </c>
      <c r="D287" s="2" t="s">
        <v>16</v>
      </c>
      <c r="E287" s="6">
        <f t="shared" si="2"/>
        <v>1</v>
      </c>
      <c r="F287" s="6" t="s">
        <v>30</v>
      </c>
      <c r="G287" s="6" t="s">
        <v>83</v>
      </c>
      <c r="H287" s="6" t="s">
        <v>80</v>
      </c>
      <c r="I287" s="6" t="s">
        <v>143</v>
      </c>
      <c r="K287" s="3" t="b">
        <f t="shared" si="3"/>
        <v>0</v>
      </c>
      <c r="L287" s="8"/>
      <c r="M287" s="6">
        <v>1.0</v>
      </c>
      <c r="N287" s="7">
        <v>2990.0</v>
      </c>
      <c r="O287" s="7">
        <f t="shared" si="33"/>
        <v>2990</v>
      </c>
    </row>
    <row r="288">
      <c r="A288" s="6">
        <v>2025.0</v>
      </c>
      <c r="B288" s="6" t="s">
        <v>134</v>
      </c>
      <c r="C288" s="1">
        <f t="shared" si="1"/>
        <v>5</v>
      </c>
      <c r="D288" s="2" t="s">
        <v>16</v>
      </c>
      <c r="E288" s="6">
        <f t="shared" si="2"/>
        <v>1</v>
      </c>
      <c r="F288" s="6" t="s">
        <v>30</v>
      </c>
      <c r="G288" s="6" t="s">
        <v>18</v>
      </c>
      <c r="H288" s="6" t="s">
        <v>52</v>
      </c>
      <c r="I288" s="6" t="s">
        <v>54</v>
      </c>
      <c r="K288" s="3" t="b">
        <f t="shared" si="3"/>
        <v>0</v>
      </c>
      <c r="L288" s="3">
        <v>500.0</v>
      </c>
      <c r="M288" s="6">
        <v>1.0</v>
      </c>
      <c r="N288" s="7">
        <v>4390.0</v>
      </c>
      <c r="O288" s="7">
        <f t="shared" si="33"/>
        <v>4390</v>
      </c>
    </row>
    <row r="289">
      <c r="A289" s="6">
        <v>2025.0</v>
      </c>
      <c r="B289" s="6" t="s">
        <v>134</v>
      </c>
      <c r="C289" s="1">
        <f t="shared" si="1"/>
        <v>5</v>
      </c>
      <c r="D289" s="2" t="s">
        <v>16</v>
      </c>
      <c r="E289" s="6">
        <f t="shared" si="2"/>
        <v>1</v>
      </c>
      <c r="F289" s="6" t="s">
        <v>30</v>
      </c>
      <c r="G289" s="6" t="s">
        <v>18</v>
      </c>
      <c r="H289" s="6" t="s">
        <v>24</v>
      </c>
      <c r="I289" s="6" t="s">
        <v>42</v>
      </c>
      <c r="K289" s="3" t="b">
        <f t="shared" si="3"/>
        <v>0</v>
      </c>
      <c r="L289" s="3">
        <v>400.0</v>
      </c>
      <c r="M289" s="6">
        <v>1.0</v>
      </c>
      <c r="N289" s="7">
        <v>18550.0</v>
      </c>
      <c r="O289" s="7">
        <f t="shared" si="33"/>
        <v>18550</v>
      </c>
    </row>
    <row r="290">
      <c r="A290" s="6">
        <v>2025.0</v>
      </c>
      <c r="B290" s="6" t="s">
        <v>134</v>
      </c>
      <c r="C290" s="1">
        <f t="shared" si="1"/>
        <v>5</v>
      </c>
      <c r="D290" s="2" t="s">
        <v>16</v>
      </c>
      <c r="E290" s="6">
        <f t="shared" si="2"/>
        <v>1</v>
      </c>
      <c r="F290" s="6" t="s">
        <v>30</v>
      </c>
      <c r="G290" s="6" t="s">
        <v>18</v>
      </c>
      <c r="H290" s="6" t="s">
        <v>52</v>
      </c>
      <c r="I290" s="6" t="s">
        <v>55</v>
      </c>
      <c r="K290" s="3" t="b">
        <f t="shared" si="3"/>
        <v>0</v>
      </c>
      <c r="L290" s="3">
        <v>500.0</v>
      </c>
      <c r="M290" s="6">
        <v>1.0</v>
      </c>
      <c r="N290" s="7">
        <v>3590.0</v>
      </c>
      <c r="O290" s="7">
        <f t="shared" si="33"/>
        <v>3590</v>
      </c>
    </row>
    <row r="291">
      <c r="A291" s="6">
        <v>2025.0</v>
      </c>
      <c r="B291" s="6" t="s">
        <v>134</v>
      </c>
      <c r="C291" s="1">
        <f t="shared" si="1"/>
        <v>5</v>
      </c>
      <c r="D291" s="2" t="s">
        <v>16</v>
      </c>
      <c r="E291" s="6">
        <f t="shared" si="2"/>
        <v>1</v>
      </c>
      <c r="F291" s="6" t="s">
        <v>30</v>
      </c>
      <c r="G291" s="6" t="s">
        <v>18</v>
      </c>
      <c r="H291" s="6" t="s">
        <v>19</v>
      </c>
      <c r="I291" s="6" t="s">
        <v>144</v>
      </c>
      <c r="K291" s="3" t="b">
        <f t="shared" si="3"/>
        <v>0</v>
      </c>
      <c r="L291" s="3">
        <v>1000.0</v>
      </c>
      <c r="M291" s="6">
        <v>1.0</v>
      </c>
      <c r="N291" s="7">
        <v>20990.0</v>
      </c>
      <c r="O291" s="7">
        <f t="shared" si="33"/>
        <v>20990</v>
      </c>
    </row>
    <row r="292">
      <c r="A292" s="6">
        <v>2025.0</v>
      </c>
      <c r="B292" s="6" t="s">
        <v>134</v>
      </c>
      <c r="C292" s="1">
        <f t="shared" si="1"/>
        <v>5</v>
      </c>
      <c r="D292" s="2" t="s">
        <v>65</v>
      </c>
      <c r="E292" s="6">
        <f t="shared" si="2"/>
        <v>2</v>
      </c>
      <c r="F292" s="6" t="s">
        <v>17</v>
      </c>
      <c r="G292" s="6" t="s">
        <v>18</v>
      </c>
      <c r="H292" s="6" t="s">
        <v>37</v>
      </c>
      <c r="I292" s="6" t="s">
        <v>87</v>
      </c>
      <c r="K292" s="3" t="b">
        <f t="shared" si="3"/>
        <v>0</v>
      </c>
      <c r="L292" s="8"/>
      <c r="M292" s="6">
        <v>2.0</v>
      </c>
      <c r="N292" s="10">
        <v>7990.0</v>
      </c>
      <c r="O292" s="7">
        <f t="shared" si="33"/>
        <v>15980</v>
      </c>
    </row>
    <row r="293">
      <c r="A293" s="6">
        <v>2025.0</v>
      </c>
      <c r="B293" s="6" t="s">
        <v>134</v>
      </c>
      <c r="C293" s="1">
        <f t="shared" si="1"/>
        <v>5</v>
      </c>
      <c r="D293" s="2" t="s">
        <v>65</v>
      </c>
      <c r="E293" s="6">
        <f t="shared" si="2"/>
        <v>2</v>
      </c>
      <c r="F293" s="6" t="s">
        <v>17</v>
      </c>
      <c r="G293" s="6" t="s">
        <v>18</v>
      </c>
      <c r="H293" s="6" t="s">
        <v>37</v>
      </c>
      <c r="I293" s="6" t="s">
        <v>145</v>
      </c>
      <c r="K293" s="3" t="b">
        <f t="shared" si="3"/>
        <v>0</v>
      </c>
      <c r="L293" s="8"/>
      <c r="M293" s="6">
        <v>1.0</v>
      </c>
      <c r="N293" s="10">
        <v>5550.0</v>
      </c>
      <c r="O293" s="7">
        <f t="shared" si="33"/>
        <v>5550</v>
      </c>
    </row>
    <row r="294">
      <c r="A294" s="6">
        <v>2025.0</v>
      </c>
      <c r="B294" s="6" t="s">
        <v>134</v>
      </c>
      <c r="C294" s="1">
        <f t="shared" si="1"/>
        <v>5</v>
      </c>
      <c r="D294" s="2" t="s">
        <v>65</v>
      </c>
      <c r="E294" s="6">
        <f t="shared" si="2"/>
        <v>2</v>
      </c>
      <c r="F294" s="6" t="s">
        <v>17</v>
      </c>
      <c r="G294" s="6" t="s">
        <v>18</v>
      </c>
      <c r="H294" s="6" t="s">
        <v>92</v>
      </c>
      <c r="I294" s="6" t="s">
        <v>125</v>
      </c>
      <c r="K294" s="3" t="b">
        <f t="shared" si="3"/>
        <v>0</v>
      </c>
      <c r="L294" s="8"/>
      <c r="M294" s="6">
        <v>1.0</v>
      </c>
      <c r="N294" s="10">
        <v>5990.0</v>
      </c>
      <c r="O294" s="7">
        <f t="shared" si="33"/>
        <v>5990</v>
      </c>
    </row>
    <row r="295">
      <c r="A295" s="6">
        <v>2025.0</v>
      </c>
      <c r="B295" s="6" t="s">
        <v>134</v>
      </c>
      <c r="C295" s="1">
        <f t="shared" si="1"/>
        <v>5</v>
      </c>
      <c r="D295" s="2" t="s">
        <v>65</v>
      </c>
      <c r="E295" s="6">
        <f t="shared" si="2"/>
        <v>2</v>
      </c>
      <c r="F295" s="6" t="s">
        <v>17</v>
      </c>
      <c r="G295" s="6" t="s">
        <v>18</v>
      </c>
      <c r="H295" s="6" t="s">
        <v>85</v>
      </c>
      <c r="I295" s="6" t="s">
        <v>146</v>
      </c>
      <c r="K295" s="3" t="b">
        <f t="shared" si="3"/>
        <v>0</v>
      </c>
      <c r="L295" s="8"/>
      <c r="M295" s="6">
        <v>1.0</v>
      </c>
      <c r="N295" s="10">
        <v>1200.0</v>
      </c>
      <c r="O295" s="7">
        <f t="shared" si="33"/>
        <v>1200</v>
      </c>
    </row>
    <row r="296">
      <c r="A296" s="6">
        <v>2025.0</v>
      </c>
      <c r="B296" s="6" t="s">
        <v>134</v>
      </c>
      <c r="C296" s="1">
        <f t="shared" si="1"/>
        <v>5</v>
      </c>
      <c r="D296" s="2" t="s">
        <v>65</v>
      </c>
      <c r="E296" s="6">
        <f t="shared" si="2"/>
        <v>2</v>
      </c>
      <c r="F296" s="6" t="s">
        <v>17</v>
      </c>
      <c r="G296" s="6" t="s">
        <v>18</v>
      </c>
      <c r="H296" s="6" t="s">
        <v>85</v>
      </c>
      <c r="I296" s="6" t="s">
        <v>88</v>
      </c>
      <c r="K296" s="3" t="b">
        <f t="shared" si="3"/>
        <v>0</v>
      </c>
      <c r="L296" s="8"/>
      <c r="M296" s="6">
        <v>1.0</v>
      </c>
      <c r="N296" s="10">
        <v>1200.0</v>
      </c>
      <c r="O296" s="7">
        <f t="shared" si="33"/>
        <v>1200</v>
      </c>
    </row>
    <row r="297">
      <c r="A297" s="6">
        <v>2025.0</v>
      </c>
      <c r="B297" s="6" t="s">
        <v>134</v>
      </c>
      <c r="C297" s="1">
        <f t="shared" si="1"/>
        <v>5</v>
      </c>
      <c r="D297" s="2" t="s">
        <v>65</v>
      </c>
      <c r="E297" s="6">
        <f t="shared" si="2"/>
        <v>2</v>
      </c>
      <c r="F297" s="6" t="s">
        <v>17</v>
      </c>
      <c r="G297" s="6" t="s">
        <v>79</v>
      </c>
      <c r="H297" s="6" t="s">
        <v>96</v>
      </c>
      <c r="I297" s="6" t="s">
        <v>97</v>
      </c>
      <c r="K297" s="3" t="b">
        <f t="shared" si="3"/>
        <v>0</v>
      </c>
      <c r="L297" s="8"/>
      <c r="M297" s="6">
        <v>1.0</v>
      </c>
      <c r="N297" s="10">
        <v>5350.0</v>
      </c>
      <c r="O297" s="7">
        <f t="shared" si="33"/>
        <v>5350</v>
      </c>
    </row>
    <row r="298">
      <c r="A298" s="6">
        <v>2025.0</v>
      </c>
      <c r="B298" s="6" t="s">
        <v>134</v>
      </c>
      <c r="C298" s="1">
        <f t="shared" si="1"/>
        <v>5</v>
      </c>
      <c r="D298" s="2" t="s">
        <v>65</v>
      </c>
      <c r="E298" s="6">
        <f t="shared" si="2"/>
        <v>2</v>
      </c>
      <c r="F298" s="6" t="s">
        <v>17</v>
      </c>
      <c r="G298" s="6" t="s">
        <v>18</v>
      </c>
      <c r="H298" s="6" t="s">
        <v>27</v>
      </c>
      <c r="I298" s="6" t="s">
        <v>118</v>
      </c>
      <c r="K298" s="3" t="b">
        <f t="shared" si="3"/>
        <v>0</v>
      </c>
      <c r="L298" s="8"/>
      <c r="M298" s="6">
        <v>1.0</v>
      </c>
      <c r="N298" s="7">
        <v>1750.0</v>
      </c>
      <c r="O298" s="7">
        <f t="shared" si="33"/>
        <v>1750</v>
      </c>
    </row>
    <row r="299">
      <c r="A299" s="6">
        <v>2025.0</v>
      </c>
      <c r="B299" s="6" t="s">
        <v>134</v>
      </c>
      <c r="C299" s="1">
        <f t="shared" si="1"/>
        <v>5</v>
      </c>
      <c r="D299" s="2" t="s">
        <v>65</v>
      </c>
      <c r="E299" s="6">
        <f t="shared" si="2"/>
        <v>2</v>
      </c>
      <c r="F299" s="6" t="s">
        <v>17</v>
      </c>
      <c r="G299" s="6" t="s">
        <v>83</v>
      </c>
      <c r="H299" s="6" t="s">
        <v>80</v>
      </c>
      <c r="I299" s="6" t="s">
        <v>84</v>
      </c>
      <c r="K299" s="3" t="b">
        <f t="shared" si="3"/>
        <v>0</v>
      </c>
      <c r="L299" s="8"/>
      <c r="M299" s="6">
        <v>1.0</v>
      </c>
      <c r="N299" s="9">
        <v>2200.0</v>
      </c>
      <c r="O299" s="7">
        <f t="shared" si="33"/>
        <v>2200</v>
      </c>
    </row>
    <row r="300">
      <c r="A300" s="6">
        <v>2025.0</v>
      </c>
      <c r="B300" s="6" t="s">
        <v>134</v>
      </c>
      <c r="C300" s="1">
        <f t="shared" si="1"/>
        <v>5</v>
      </c>
      <c r="D300" s="2" t="s">
        <v>65</v>
      </c>
      <c r="E300" s="6">
        <f t="shared" si="2"/>
        <v>2</v>
      </c>
      <c r="F300" s="6" t="s">
        <v>17</v>
      </c>
      <c r="G300" s="6" t="s">
        <v>18</v>
      </c>
      <c r="H300" s="6" t="s">
        <v>94</v>
      </c>
      <c r="I300" s="6" t="s">
        <v>95</v>
      </c>
      <c r="K300" s="3" t="b">
        <f t="shared" si="3"/>
        <v>0</v>
      </c>
      <c r="L300" s="8"/>
      <c r="M300" s="6">
        <v>1.0</v>
      </c>
      <c r="N300" s="7">
        <v>4950.0</v>
      </c>
      <c r="O300" s="7">
        <f t="shared" si="33"/>
        <v>4950</v>
      </c>
    </row>
    <row r="301">
      <c r="A301" s="6">
        <v>2025.0</v>
      </c>
      <c r="B301" s="6" t="s">
        <v>134</v>
      </c>
      <c r="C301" s="1">
        <f t="shared" si="1"/>
        <v>5</v>
      </c>
      <c r="D301" s="2" t="s">
        <v>65</v>
      </c>
      <c r="E301" s="6">
        <f t="shared" si="2"/>
        <v>2</v>
      </c>
      <c r="F301" s="6" t="s">
        <v>17</v>
      </c>
      <c r="G301" s="6" t="s">
        <v>18</v>
      </c>
      <c r="H301" s="6" t="s">
        <v>37</v>
      </c>
      <c r="I301" s="6" t="s">
        <v>98</v>
      </c>
      <c r="K301" s="3" t="b">
        <f t="shared" si="3"/>
        <v>0</v>
      </c>
      <c r="L301" s="8"/>
      <c r="M301" s="6">
        <v>1.0</v>
      </c>
      <c r="N301" s="9">
        <v>8700.0</v>
      </c>
      <c r="O301" s="7">
        <f t="shared" si="33"/>
        <v>8700</v>
      </c>
    </row>
    <row r="302">
      <c r="A302" s="6">
        <v>2025.0</v>
      </c>
      <c r="B302" s="6" t="s">
        <v>134</v>
      </c>
      <c r="C302" s="1">
        <f t="shared" si="1"/>
        <v>5</v>
      </c>
      <c r="D302" s="2" t="s">
        <v>65</v>
      </c>
      <c r="E302" s="6">
        <f t="shared" si="2"/>
        <v>2</v>
      </c>
      <c r="F302" s="6" t="s">
        <v>17</v>
      </c>
      <c r="G302" s="6" t="s">
        <v>18</v>
      </c>
      <c r="H302" s="6" t="s">
        <v>92</v>
      </c>
      <c r="I302" s="6" t="s">
        <v>93</v>
      </c>
      <c r="K302" s="3" t="b">
        <f t="shared" si="3"/>
        <v>0</v>
      </c>
      <c r="L302" s="8"/>
      <c r="M302" s="6">
        <v>3.0</v>
      </c>
      <c r="N302" s="7">
        <v>1990.0</v>
      </c>
      <c r="O302" s="7">
        <f t="shared" si="33"/>
        <v>5970</v>
      </c>
    </row>
    <row r="303">
      <c r="A303" s="6">
        <v>2025.0</v>
      </c>
      <c r="B303" s="6" t="s">
        <v>134</v>
      </c>
      <c r="C303" s="1">
        <f t="shared" si="1"/>
        <v>5</v>
      </c>
      <c r="D303" s="2" t="s">
        <v>65</v>
      </c>
      <c r="E303" s="6">
        <f t="shared" si="2"/>
        <v>2</v>
      </c>
      <c r="F303" s="6" t="s">
        <v>17</v>
      </c>
      <c r="G303" s="6" t="s">
        <v>83</v>
      </c>
      <c r="H303" s="6" t="s">
        <v>89</v>
      </c>
      <c r="I303" s="6" t="s">
        <v>115</v>
      </c>
      <c r="K303" s="3" t="b">
        <f t="shared" si="3"/>
        <v>0</v>
      </c>
      <c r="L303" s="8"/>
      <c r="M303" s="6">
        <v>1.0</v>
      </c>
      <c r="N303" s="10">
        <v>4950.0</v>
      </c>
      <c r="O303" s="7">
        <f t="shared" si="33"/>
        <v>4950</v>
      </c>
    </row>
    <row r="304">
      <c r="A304" s="6">
        <v>2025.0</v>
      </c>
      <c r="B304" s="6" t="s">
        <v>134</v>
      </c>
      <c r="C304" s="1">
        <f t="shared" si="1"/>
        <v>5</v>
      </c>
      <c r="D304" s="2" t="s">
        <v>65</v>
      </c>
      <c r="E304" s="6">
        <f t="shared" si="2"/>
        <v>2</v>
      </c>
      <c r="F304" s="6" t="s">
        <v>17</v>
      </c>
      <c r="G304" s="6" t="s">
        <v>79</v>
      </c>
      <c r="H304" s="6" t="s">
        <v>96</v>
      </c>
      <c r="I304" s="6" t="s">
        <v>113</v>
      </c>
      <c r="K304" s="3" t="b">
        <f t="shared" si="3"/>
        <v>0</v>
      </c>
      <c r="L304" s="8"/>
      <c r="M304" s="6">
        <v>1.0</v>
      </c>
      <c r="N304" s="10">
        <v>5100.0</v>
      </c>
      <c r="O304" s="7">
        <f t="shared" si="33"/>
        <v>5100</v>
      </c>
    </row>
    <row r="305">
      <c r="A305" s="6">
        <v>2025.0</v>
      </c>
      <c r="B305" s="6" t="s">
        <v>134</v>
      </c>
      <c r="C305" s="1">
        <f t="shared" si="1"/>
        <v>5</v>
      </c>
      <c r="D305" s="2" t="s">
        <v>65</v>
      </c>
      <c r="E305" s="6">
        <f t="shared" si="2"/>
        <v>2</v>
      </c>
      <c r="F305" s="6" t="s">
        <v>17</v>
      </c>
      <c r="G305" s="6" t="s">
        <v>18</v>
      </c>
      <c r="H305" s="6" t="s">
        <v>94</v>
      </c>
      <c r="I305" s="6" t="s">
        <v>103</v>
      </c>
      <c r="K305" s="3" t="b">
        <f t="shared" si="3"/>
        <v>0</v>
      </c>
      <c r="L305" s="8"/>
      <c r="M305" s="6">
        <v>3.0</v>
      </c>
      <c r="N305" s="7">
        <v>1950.0</v>
      </c>
      <c r="O305" s="7">
        <f t="shared" si="33"/>
        <v>5850</v>
      </c>
    </row>
    <row r="306">
      <c r="A306" s="6">
        <v>2025.0</v>
      </c>
      <c r="B306" s="6" t="s">
        <v>134</v>
      </c>
      <c r="C306" s="1">
        <f t="shared" si="1"/>
        <v>5</v>
      </c>
      <c r="D306" s="2" t="s">
        <v>65</v>
      </c>
      <c r="E306" s="6">
        <f t="shared" si="2"/>
        <v>2</v>
      </c>
      <c r="F306" s="6" t="s">
        <v>17</v>
      </c>
      <c r="G306" s="6" t="s">
        <v>18</v>
      </c>
      <c r="H306" s="6" t="s">
        <v>19</v>
      </c>
      <c r="I306" s="6" t="s">
        <v>104</v>
      </c>
      <c r="K306" s="3" t="b">
        <f t="shared" si="3"/>
        <v>0</v>
      </c>
      <c r="L306" s="8"/>
      <c r="M306" s="6">
        <v>1.0</v>
      </c>
      <c r="N306" s="7">
        <v>7990.0</v>
      </c>
      <c r="O306" s="7">
        <f t="shared" si="33"/>
        <v>7990</v>
      </c>
    </row>
    <row r="307">
      <c r="A307" s="6">
        <v>2025.0</v>
      </c>
      <c r="B307" s="6" t="s">
        <v>134</v>
      </c>
      <c r="C307" s="1">
        <f t="shared" si="1"/>
        <v>5</v>
      </c>
      <c r="D307" s="2" t="s">
        <v>65</v>
      </c>
      <c r="E307" s="6">
        <f t="shared" si="2"/>
        <v>2</v>
      </c>
      <c r="F307" s="6" t="s">
        <v>17</v>
      </c>
      <c r="G307" s="6" t="s">
        <v>83</v>
      </c>
      <c r="H307" s="6" t="s">
        <v>80</v>
      </c>
      <c r="I307" s="6" t="s">
        <v>147</v>
      </c>
      <c r="J307" s="11"/>
      <c r="K307" s="3" t="b">
        <f t="shared" si="3"/>
        <v>0</v>
      </c>
      <c r="L307" s="12"/>
      <c r="M307" s="6">
        <v>1.0</v>
      </c>
      <c r="N307" s="7">
        <v>2250.0</v>
      </c>
      <c r="O307" s="7">
        <f t="shared" si="33"/>
        <v>2250</v>
      </c>
    </row>
    <row r="308">
      <c r="A308" s="6">
        <v>2025.0</v>
      </c>
      <c r="B308" s="6" t="s">
        <v>134</v>
      </c>
      <c r="C308" s="1">
        <f t="shared" si="1"/>
        <v>5</v>
      </c>
      <c r="D308" s="2" t="s">
        <v>65</v>
      </c>
      <c r="E308" s="6">
        <f t="shared" si="2"/>
        <v>2</v>
      </c>
      <c r="F308" s="6" t="s">
        <v>17</v>
      </c>
      <c r="G308" s="6" t="s">
        <v>18</v>
      </c>
      <c r="H308" s="6" t="s">
        <v>31</v>
      </c>
      <c r="I308" s="6" t="s">
        <v>105</v>
      </c>
      <c r="J308" s="11"/>
      <c r="K308" s="3" t="b">
        <f t="shared" si="3"/>
        <v>0</v>
      </c>
      <c r="L308" s="12"/>
      <c r="M308" s="6">
        <v>1.0</v>
      </c>
      <c r="N308" s="7">
        <v>7490.0</v>
      </c>
      <c r="O308" s="7">
        <f t="shared" si="33"/>
        <v>7490</v>
      </c>
    </row>
    <row r="309">
      <c r="A309" s="6">
        <v>2025.0</v>
      </c>
      <c r="B309" s="6" t="s">
        <v>134</v>
      </c>
      <c r="C309" s="1">
        <f t="shared" si="1"/>
        <v>5</v>
      </c>
      <c r="D309" s="2" t="s">
        <v>65</v>
      </c>
      <c r="E309" s="6">
        <f t="shared" si="2"/>
        <v>2</v>
      </c>
      <c r="F309" s="6" t="s">
        <v>30</v>
      </c>
      <c r="G309" s="6" t="s">
        <v>18</v>
      </c>
      <c r="H309" s="6" t="s">
        <v>37</v>
      </c>
      <c r="I309" s="6" t="s">
        <v>68</v>
      </c>
      <c r="K309" s="3" t="b">
        <f t="shared" si="3"/>
        <v>0</v>
      </c>
      <c r="L309" s="3">
        <v>1300.0</v>
      </c>
      <c r="N309" s="7">
        <v>19700.0</v>
      </c>
      <c r="O309" s="7">
        <f t="shared" ref="O309:O314" si="34">N309*L309/1000</f>
        <v>25610</v>
      </c>
    </row>
    <row r="310">
      <c r="A310" s="6">
        <v>2025.0</v>
      </c>
      <c r="B310" s="6" t="s">
        <v>134</v>
      </c>
      <c r="C310" s="1">
        <f t="shared" si="1"/>
        <v>5</v>
      </c>
      <c r="D310" s="2" t="s">
        <v>65</v>
      </c>
      <c r="E310" s="6">
        <f t="shared" si="2"/>
        <v>2</v>
      </c>
      <c r="F310" s="6" t="s">
        <v>30</v>
      </c>
      <c r="G310" s="6" t="s">
        <v>18</v>
      </c>
      <c r="H310" s="6" t="s">
        <v>37</v>
      </c>
      <c r="I310" s="6" t="s">
        <v>45</v>
      </c>
      <c r="K310" s="3" t="b">
        <f t="shared" si="3"/>
        <v>1</v>
      </c>
      <c r="L310" s="3">
        <v>650.0</v>
      </c>
      <c r="N310" s="7">
        <v>23980.0</v>
      </c>
      <c r="O310" s="7">
        <f t="shared" si="34"/>
        <v>15587</v>
      </c>
    </row>
    <row r="311">
      <c r="A311" s="6">
        <v>2025.0</v>
      </c>
      <c r="B311" s="6" t="s">
        <v>134</v>
      </c>
      <c r="C311" s="1">
        <f t="shared" si="1"/>
        <v>5</v>
      </c>
      <c r="D311" s="2" t="s">
        <v>65</v>
      </c>
      <c r="E311" s="6">
        <f t="shared" si="2"/>
        <v>2</v>
      </c>
      <c r="F311" s="6" t="s">
        <v>30</v>
      </c>
      <c r="G311" s="6" t="s">
        <v>18</v>
      </c>
      <c r="H311" s="6" t="s">
        <v>37</v>
      </c>
      <c r="I311" s="6" t="s">
        <v>123</v>
      </c>
      <c r="K311" s="3" t="b">
        <f t="shared" si="3"/>
        <v>0</v>
      </c>
      <c r="L311" s="3">
        <v>690.0</v>
      </c>
      <c r="N311" s="7">
        <v>26980.0</v>
      </c>
      <c r="O311" s="7">
        <f t="shared" si="34"/>
        <v>18616.2</v>
      </c>
    </row>
    <row r="312">
      <c r="A312" s="6">
        <v>2025.0</v>
      </c>
      <c r="B312" s="6" t="s">
        <v>134</v>
      </c>
      <c r="C312" s="1">
        <f t="shared" si="1"/>
        <v>5</v>
      </c>
      <c r="D312" s="2" t="s">
        <v>65</v>
      </c>
      <c r="E312" s="6">
        <f t="shared" si="2"/>
        <v>2</v>
      </c>
      <c r="F312" s="6" t="s">
        <v>30</v>
      </c>
      <c r="G312" s="6" t="s">
        <v>18</v>
      </c>
      <c r="H312" s="6" t="s">
        <v>37</v>
      </c>
      <c r="I312" s="6" t="s">
        <v>47</v>
      </c>
      <c r="K312" s="3" t="b">
        <f t="shared" si="3"/>
        <v>0</v>
      </c>
      <c r="L312" s="3">
        <v>1270.0</v>
      </c>
      <c r="N312" s="7">
        <v>31980.0</v>
      </c>
      <c r="O312" s="7">
        <f t="shared" si="34"/>
        <v>40614.6</v>
      </c>
    </row>
    <row r="313">
      <c r="A313" s="6">
        <v>2025.0</v>
      </c>
      <c r="B313" s="6" t="s">
        <v>134</v>
      </c>
      <c r="C313" s="1">
        <f t="shared" si="1"/>
        <v>5</v>
      </c>
      <c r="D313" s="2" t="s">
        <v>65</v>
      </c>
      <c r="E313" s="6">
        <f t="shared" si="2"/>
        <v>2</v>
      </c>
      <c r="F313" s="6" t="s">
        <v>30</v>
      </c>
      <c r="G313" s="6" t="s">
        <v>18</v>
      </c>
      <c r="H313" s="6" t="s">
        <v>37</v>
      </c>
      <c r="I313" s="6" t="s">
        <v>45</v>
      </c>
      <c r="K313" s="3" t="b">
        <f t="shared" si="3"/>
        <v>1</v>
      </c>
      <c r="L313" s="3">
        <v>1250.0</v>
      </c>
      <c r="N313" s="7">
        <v>6300.0</v>
      </c>
      <c r="O313" s="7">
        <f t="shared" si="34"/>
        <v>7875</v>
      </c>
    </row>
    <row r="314">
      <c r="A314" s="6">
        <v>2025.0</v>
      </c>
      <c r="B314" s="6" t="s">
        <v>134</v>
      </c>
      <c r="C314" s="1">
        <f t="shared" si="1"/>
        <v>5</v>
      </c>
      <c r="D314" s="2" t="s">
        <v>65</v>
      </c>
      <c r="E314" s="6">
        <f t="shared" si="2"/>
        <v>2</v>
      </c>
      <c r="F314" s="6" t="s">
        <v>30</v>
      </c>
      <c r="G314" s="6" t="s">
        <v>18</v>
      </c>
      <c r="H314" s="6" t="s">
        <v>37</v>
      </c>
      <c r="I314" s="6" t="s">
        <v>67</v>
      </c>
      <c r="K314" s="3" t="b">
        <f t="shared" si="3"/>
        <v>0</v>
      </c>
      <c r="L314" s="3">
        <v>1058.0</v>
      </c>
      <c r="N314" s="7">
        <v>16980.0</v>
      </c>
      <c r="O314" s="7">
        <f t="shared" si="34"/>
        <v>17964.84</v>
      </c>
    </row>
    <row r="315">
      <c r="A315" s="6">
        <v>2025.0</v>
      </c>
      <c r="B315" s="6" t="s">
        <v>134</v>
      </c>
      <c r="C315" s="1">
        <f t="shared" si="1"/>
        <v>5</v>
      </c>
      <c r="D315" s="2" t="s">
        <v>65</v>
      </c>
      <c r="E315" s="6">
        <f t="shared" si="2"/>
        <v>2</v>
      </c>
      <c r="F315" s="6" t="s">
        <v>30</v>
      </c>
      <c r="G315" s="6" t="s">
        <v>18</v>
      </c>
      <c r="H315" s="6" t="s">
        <v>19</v>
      </c>
      <c r="I315" s="6" t="s">
        <v>129</v>
      </c>
      <c r="K315" s="3" t="b">
        <f t="shared" si="3"/>
        <v>0</v>
      </c>
      <c r="L315" s="3">
        <v>1100.0</v>
      </c>
      <c r="M315" s="6">
        <v>1.0</v>
      </c>
      <c r="N315" s="7">
        <v>27600.0</v>
      </c>
      <c r="O315" s="7">
        <f>N315*M315</f>
        <v>27600</v>
      </c>
    </row>
    <row r="316">
      <c r="A316" s="6">
        <v>2025.0</v>
      </c>
      <c r="B316" s="6" t="s">
        <v>134</v>
      </c>
      <c r="C316" s="1">
        <f t="shared" si="1"/>
        <v>5</v>
      </c>
      <c r="D316" s="2" t="s">
        <v>65</v>
      </c>
      <c r="E316" s="6">
        <f t="shared" si="2"/>
        <v>2</v>
      </c>
      <c r="F316" s="6" t="s">
        <v>30</v>
      </c>
      <c r="G316" s="6" t="s">
        <v>18</v>
      </c>
      <c r="H316" s="6" t="s">
        <v>37</v>
      </c>
      <c r="I316" s="6" t="s">
        <v>60</v>
      </c>
      <c r="K316" s="3" t="b">
        <f t="shared" si="3"/>
        <v>0</v>
      </c>
      <c r="L316" s="3">
        <v>3295.0</v>
      </c>
      <c r="N316" s="7">
        <v>7580.0</v>
      </c>
      <c r="O316" s="7">
        <f>N316*L316/1000</f>
        <v>24976.1</v>
      </c>
    </row>
    <row r="317">
      <c r="A317" s="6">
        <v>2025.0</v>
      </c>
      <c r="B317" s="6" t="s">
        <v>134</v>
      </c>
      <c r="C317" s="1">
        <f t="shared" si="1"/>
        <v>5</v>
      </c>
      <c r="D317" s="2" t="s">
        <v>65</v>
      </c>
      <c r="E317" s="6">
        <f t="shared" si="2"/>
        <v>2</v>
      </c>
      <c r="F317" s="6" t="s">
        <v>30</v>
      </c>
      <c r="G317" s="6" t="s">
        <v>18</v>
      </c>
      <c r="H317" s="6" t="s">
        <v>33</v>
      </c>
      <c r="I317" s="6" t="s">
        <v>148</v>
      </c>
      <c r="K317" s="3" t="b">
        <f t="shared" si="3"/>
        <v>0</v>
      </c>
      <c r="L317" s="8"/>
      <c r="M317" s="6">
        <v>1.0</v>
      </c>
      <c r="N317" s="7">
        <v>1800.0</v>
      </c>
      <c r="O317" s="7">
        <f>N317*M317</f>
        <v>1800</v>
      </c>
    </row>
    <row r="318">
      <c r="A318" s="6">
        <v>2025.0</v>
      </c>
      <c r="B318" s="6" t="s">
        <v>134</v>
      </c>
      <c r="C318" s="1">
        <f t="shared" si="1"/>
        <v>5</v>
      </c>
      <c r="D318" s="2" t="s">
        <v>65</v>
      </c>
      <c r="E318" s="6">
        <f t="shared" si="2"/>
        <v>2</v>
      </c>
      <c r="F318" s="6" t="s">
        <v>30</v>
      </c>
      <c r="G318" s="6" t="s">
        <v>18</v>
      </c>
      <c r="H318" s="6" t="s">
        <v>49</v>
      </c>
      <c r="I318" s="6" t="s">
        <v>50</v>
      </c>
      <c r="K318" s="3" t="b">
        <f t="shared" si="3"/>
        <v>0</v>
      </c>
      <c r="L318" s="3">
        <v>3430.0</v>
      </c>
      <c r="N318" s="7">
        <v>2780.0</v>
      </c>
      <c r="O318" s="7">
        <f t="shared" ref="O318:O334" si="35">N318*L318/1000</f>
        <v>9535.4</v>
      </c>
    </row>
    <row r="319">
      <c r="A319" s="6">
        <v>2025.0</v>
      </c>
      <c r="B319" s="6" t="s">
        <v>134</v>
      </c>
      <c r="C319" s="1">
        <f t="shared" si="1"/>
        <v>5</v>
      </c>
      <c r="D319" s="2" t="s">
        <v>65</v>
      </c>
      <c r="E319" s="6">
        <f t="shared" si="2"/>
        <v>2</v>
      </c>
      <c r="F319" s="6" t="s">
        <v>30</v>
      </c>
      <c r="G319" s="6" t="s">
        <v>18</v>
      </c>
      <c r="H319" s="6" t="s">
        <v>49</v>
      </c>
      <c r="I319" s="6" t="s">
        <v>121</v>
      </c>
      <c r="K319" s="3" t="b">
        <f t="shared" si="3"/>
        <v>0</v>
      </c>
      <c r="L319" s="3">
        <v>990.0</v>
      </c>
      <c r="N319" s="7">
        <v>2180.0</v>
      </c>
      <c r="O319" s="7">
        <f t="shared" si="35"/>
        <v>2158.2</v>
      </c>
    </row>
    <row r="320">
      <c r="A320" s="6">
        <v>2025.0</v>
      </c>
      <c r="B320" s="6" t="s">
        <v>134</v>
      </c>
      <c r="C320" s="1">
        <f t="shared" si="1"/>
        <v>5</v>
      </c>
      <c r="D320" s="2" t="s">
        <v>65</v>
      </c>
      <c r="E320" s="6">
        <f t="shared" si="2"/>
        <v>2</v>
      </c>
      <c r="F320" s="6" t="s">
        <v>30</v>
      </c>
      <c r="G320" s="6" t="s">
        <v>18</v>
      </c>
      <c r="H320" s="6" t="s">
        <v>33</v>
      </c>
      <c r="I320" s="6" t="s">
        <v>149</v>
      </c>
      <c r="K320" s="3" t="b">
        <f t="shared" si="3"/>
        <v>0</v>
      </c>
      <c r="L320" s="3">
        <v>770.0</v>
      </c>
      <c r="N320" s="7">
        <v>4200.0</v>
      </c>
      <c r="O320" s="7">
        <f t="shared" si="35"/>
        <v>3234</v>
      </c>
    </row>
    <row r="321">
      <c r="A321" s="6">
        <v>2025.0</v>
      </c>
      <c r="B321" s="6" t="s">
        <v>134</v>
      </c>
      <c r="C321" s="1">
        <f t="shared" si="1"/>
        <v>5</v>
      </c>
      <c r="D321" s="2" t="s">
        <v>65</v>
      </c>
      <c r="E321" s="6">
        <f t="shared" si="2"/>
        <v>2</v>
      </c>
      <c r="F321" s="6" t="s">
        <v>30</v>
      </c>
      <c r="G321" s="6" t="s">
        <v>18</v>
      </c>
      <c r="H321" s="6" t="s">
        <v>49</v>
      </c>
      <c r="I321" s="6" t="s">
        <v>74</v>
      </c>
      <c r="K321" s="3" t="b">
        <f t="shared" si="3"/>
        <v>0</v>
      </c>
      <c r="L321" s="3">
        <v>2540.0</v>
      </c>
      <c r="N321" s="7">
        <v>1780.0</v>
      </c>
      <c r="O321" s="7">
        <f t="shared" si="35"/>
        <v>4521.2</v>
      </c>
    </row>
    <row r="322">
      <c r="A322" s="6">
        <v>2025.0</v>
      </c>
      <c r="B322" s="6" t="s">
        <v>134</v>
      </c>
      <c r="C322" s="1">
        <f t="shared" si="1"/>
        <v>5</v>
      </c>
      <c r="D322" s="2" t="s">
        <v>65</v>
      </c>
      <c r="E322" s="6">
        <f t="shared" si="2"/>
        <v>2</v>
      </c>
      <c r="F322" s="6" t="s">
        <v>30</v>
      </c>
      <c r="G322" s="6" t="s">
        <v>18</v>
      </c>
      <c r="H322" s="6" t="s">
        <v>33</v>
      </c>
      <c r="I322" s="6" t="s">
        <v>59</v>
      </c>
      <c r="K322" s="3" t="b">
        <f t="shared" si="3"/>
        <v>0</v>
      </c>
      <c r="L322" s="3">
        <v>1390.0</v>
      </c>
      <c r="N322" s="7">
        <v>3180.0</v>
      </c>
      <c r="O322" s="7">
        <f t="shared" si="35"/>
        <v>4420.2</v>
      </c>
    </row>
    <row r="323">
      <c r="A323" s="6">
        <v>2025.0</v>
      </c>
      <c r="B323" s="6" t="s">
        <v>134</v>
      </c>
      <c r="C323" s="1">
        <f t="shared" si="1"/>
        <v>5</v>
      </c>
      <c r="D323" s="2" t="s">
        <v>65</v>
      </c>
      <c r="E323" s="6">
        <f t="shared" si="2"/>
        <v>2</v>
      </c>
      <c r="F323" s="6" t="s">
        <v>30</v>
      </c>
      <c r="G323" s="6" t="s">
        <v>18</v>
      </c>
      <c r="H323" s="6" t="s">
        <v>33</v>
      </c>
      <c r="I323" s="6" t="s">
        <v>150</v>
      </c>
      <c r="K323" s="3" t="b">
        <f t="shared" si="3"/>
        <v>0</v>
      </c>
      <c r="L323" s="3">
        <v>370.0</v>
      </c>
      <c r="N323" s="7">
        <v>3000.0</v>
      </c>
      <c r="O323" s="7">
        <f t="shared" si="35"/>
        <v>1110</v>
      </c>
    </row>
    <row r="324">
      <c r="A324" s="6">
        <v>2025.0</v>
      </c>
      <c r="B324" s="6" t="s">
        <v>134</v>
      </c>
      <c r="C324" s="1">
        <f t="shared" si="1"/>
        <v>5</v>
      </c>
      <c r="D324" s="2" t="s">
        <v>65</v>
      </c>
      <c r="E324" s="6">
        <f t="shared" si="2"/>
        <v>2</v>
      </c>
      <c r="F324" s="6" t="s">
        <v>30</v>
      </c>
      <c r="G324" s="6" t="s">
        <v>18</v>
      </c>
      <c r="H324" s="6" t="s">
        <v>33</v>
      </c>
      <c r="I324" s="6" t="s">
        <v>70</v>
      </c>
      <c r="K324" s="3" t="b">
        <f t="shared" si="3"/>
        <v>0</v>
      </c>
      <c r="L324" s="3">
        <v>2270.0</v>
      </c>
      <c r="N324" s="7">
        <v>3100.0</v>
      </c>
      <c r="O324" s="7">
        <f t="shared" si="35"/>
        <v>7037</v>
      </c>
    </row>
    <row r="325">
      <c r="A325" s="6">
        <v>2025.0</v>
      </c>
      <c r="B325" s="6" t="s">
        <v>134</v>
      </c>
      <c r="C325" s="1">
        <f t="shared" si="1"/>
        <v>5</v>
      </c>
      <c r="D325" s="2" t="s">
        <v>65</v>
      </c>
      <c r="E325" s="6">
        <f t="shared" si="2"/>
        <v>2</v>
      </c>
      <c r="F325" s="6" t="s">
        <v>30</v>
      </c>
      <c r="G325" s="6" t="s">
        <v>18</v>
      </c>
      <c r="H325" s="6" t="s">
        <v>49</v>
      </c>
      <c r="I325" s="6" t="s">
        <v>63</v>
      </c>
      <c r="K325" s="3" t="b">
        <f t="shared" si="3"/>
        <v>0</v>
      </c>
      <c r="L325" s="3">
        <v>690.0</v>
      </c>
      <c r="N325" s="7">
        <v>2580.0</v>
      </c>
      <c r="O325" s="7">
        <f t="shared" si="35"/>
        <v>1780.2</v>
      </c>
    </row>
    <row r="326">
      <c r="A326" s="6">
        <v>2025.0</v>
      </c>
      <c r="B326" s="6" t="s">
        <v>134</v>
      </c>
      <c r="C326" s="1">
        <f t="shared" si="1"/>
        <v>5</v>
      </c>
      <c r="D326" s="2" t="s">
        <v>65</v>
      </c>
      <c r="E326" s="6">
        <f t="shared" si="2"/>
        <v>2</v>
      </c>
      <c r="F326" s="6" t="s">
        <v>30</v>
      </c>
      <c r="G326" s="6" t="s">
        <v>18</v>
      </c>
      <c r="H326" s="6" t="s">
        <v>49</v>
      </c>
      <c r="I326" s="6" t="s">
        <v>58</v>
      </c>
      <c r="K326" s="3" t="b">
        <f t="shared" si="3"/>
        <v>0</v>
      </c>
      <c r="L326" s="3">
        <v>1300.0</v>
      </c>
      <c r="N326" s="7">
        <v>4580.0</v>
      </c>
      <c r="O326" s="7">
        <f t="shared" si="35"/>
        <v>5954</v>
      </c>
    </row>
    <row r="327">
      <c r="A327" s="6">
        <v>2025.0</v>
      </c>
      <c r="B327" s="6" t="s">
        <v>134</v>
      </c>
      <c r="C327" s="1">
        <f t="shared" si="1"/>
        <v>5</v>
      </c>
      <c r="D327" s="2" t="s">
        <v>65</v>
      </c>
      <c r="E327" s="6">
        <f t="shared" si="2"/>
        <v>2</v>
      </c>
      <c r="F327" s="6" t="s">
        <v>30</v>
      </c>
      <c r="G327" s="6" t="s">
        <v>18</v>
      </c>
      <c r="H327" s="6" t="s">
        <v>49</v>
      </c>
      <c r="I327" s="6" t="s">
        <v>57</v>
      </c>
      <c r="K327" s="3" t="b">
        <f t="shared" si="3"/>
        <v>0</v>
      </c>
      <c r="L327" s="3">
        <v>1970.0</v>
      </c>
      <c r="N327" s="7">
        <v>3180.0</v>
      </c>
      <c r="O327" s="7">
        <f t="shared" si="35"/>
        <v>6264.6</v>
      </c>
    </row>
    <row r="328">
      <c r="A328" s="6">
        <v>2025.0</v>
      </c>
      <c r="B328" s="6" t="s">
        <v>134</v>
      </c>
      <c r="C328" s="1">
        <f t="shared" si="1"/>
        <v>5</v>
      </c>
      <c r="D328" s="2" t="s">
        <v>65</v>
      </c>
      <c r="E328" s="6">
        <f t="shared" si="2"/>
        <v>2</v>
      </c>
      <c r="F328" s="6" t="s">
        <v>30</v>
      </c>
      <c r="G328" s="6" t="s">
        <v>18</v>
      </c>
      <c r="H328" s="6" t="s">
        <v>49</v>
      </c>
      <c r="I328" s="6" t="s">
        <v>72</v>
      </c>
      <c r="K328" s="3" t="b">
        <f t="shared" si="3"/>
        <v>0</v>
      </c>
      <c r="L328" s="3">
        <v>840.0</v>
      </c>
      <c r="N328" s="7">
        <v>7180.0</v>
      </c>
      <c r="O328" s="7">
        <f t="shared" si="35"/>
        <v>6031.2</v>
      </c>
    </row>
    <row r="329">
      <c r="A329" s="6">
        <v>2025.0</v>
      </c>
      <c r="B329" s="6" t="s">
        <v>134</v>
      </c>
      <c r="C329" s="1">
        <f t="shared" si="1"/>
        <v>5</v>
      </c>
      <c r="D329" s="2" t="s">
        <v>65</v>
      </c>
      <c r="E329" s="6">
        <f t="shared" si="2"/>
        <v>2</v>
      </c>
      <c r="F329" s="6" t="s">
        <v>30</v>
      </c>
      <c r="G329" s="6" t="s">
        <v>18</v>
      </c>
      <c r="H329" s="6" t="s">
        <v>49</v>
      </c>
      <c r="I329" s="6" t="s">
        <v>62</v>
      </c>
      <c r="K329" s="3" t="b">
        <f t="shared" si="3"/>
        <v>0</v>
      </c>
      <c r="L329" s="3">
        <v>3470.0</v>
      </c>
      <c r="N329" s="7">
        <v>6980.0</v>
      </c>
      <c r="O329" s="7">
        <f t="shared" si="35"/>
        <v>24220.6</v>
      </c>
    </row>
    <row r="330">
      <c r="A330" s="6">
        <v>2025.0</v>
      </c>
      <c r="B330" s="6" t="s">
        <v>134</v>
      </c>
      <c r="C330" s="1">
        <f t="shared" si="1"/>
        <v>5</v>
      </c>
      <c r="D330" s="2" t="s">
        <v>65</v>
      </c>
      <c r="E330" s="6">
        <f t="shared" si="2"/>
        <v>2</v>
      </c>
      <c r="F330" s="6" t="s">
        <v>30</v>
      </c>
      <c r="G330" s="6" t="s">
        <v>18</v>
      </c>
      <c r="H330" s="6" t="s">
        <v>49</v>
      </c>
      <c r="I330" s="6" t="s">
        <v>131</v>
      </c>
      <c r="K330" s="3" t="b">
        <f t="shared" si="3"/>
        <v>0</v>
      </c>
      <c r="L330" s="3">
        <v>650.0</v>
      </c>
      <c r="N330" s="7">
        <v>3980.0</v>
      </c>
      <c r="O330" s="7">
        <f t="shared" si="35"/>
        <v>2587</v>
      </c>
    </row>
    <row r="331">
      <c r="A331" s="6">
        <v>2025.0</v>
      </c>
      <c r="B331" s="6" t="s">
        <v>134</v>
      </c>
      <c r="C331" s="1">
        <f t="shared" si="1"/>
        <v>5</v>
      </c>
      <c r="D331" s="2" t="s">
        <v>65</v>
      </c>
      <c r="E331" s="6">
        <f t="shared" si="2"/>
        <v>2</v>
      </c>
      <c r="F331" s="6" t="s">
        <v>30</v>
      </c>
      <c r="G331" s="6" t="s">
        <v>18</v>
      </c>
      <c r="H331" s="6" t="s">
        <v>35</v>
      </c>
      <c r="I331" s="6" t="s">
        <v>36</v>
      </c>
      <c r="K331" s="3" t="b">
        <f t="shared" si="3"/>
        <v>0</v>
      </c>
      <c r="L331" s="3">
        <v>90.0</v>
      </c>
      <c r="N331" s="7">
        <v>11100.0</v>
      </c>
      <c r="O331" s="7">
        <f t="shared" si="35"/>
        <v>999</v>
      </c>
    </row>
    <row r="332">
      <c r="A332" s="6">
        <v>2025.0</v>
      </c>
      <c r="B332" s="6" t="s">
        <v>134</v>
      </c>
      <c r="C332" s="1">
        <f t="shared" si="1"/>
        <v>5</v>
      </c>
      <c r="D332" s="2" t="s">
        <v>65</v>
      </c>
      <c r="E332" s="6">
        <f t="shared" si="2"/>
        <v>2</v>
      </c>
      <c r="F332" s="6" t="s">
        <v>30</v>
      </c>
      <c r="G332" s="6" t="s">
        <v>18</v>
      </c>
      <c r="H332" s="6" t="s">
        <v>49</v>
      </c>
      <c r="I332" s="6" t="s">
        <v>51</v>
      </c>
      <c r="K332" s="3" t="b">
        <f t="shared" si="3"/>
        <v>0</v>
      </c>
      <c r="L332" s="3">
        <v>530.0</v>
      </c>
      <c r="N332" s="7">
        <v>7680.0</v>
      </c>
      <c r="O332" s="7">
        <f t="shared" si="35"/>
        <v>4070.4</v>
      </c>
    </row>
    <row r="333">
      <c r="A333" s="6">
        <v>2025.0</v>
      </c>
      <c r="B333" s="6" t="s">
        <v>134</v>
      </c>
      <c r="C333" s="1">
        <f t="shared" si="1"/>
        <v>5</v>
      </c>
      <c r="D333" s="2" t="s">
        <v>65</v>
      </c>
      <c r="E333" s="6">
        <f t="shared" si="2"/>
        <v>2</v>
      </c>
      <c r="F333" s="6" t="s">
        <v>30</v>
      </c>
      <c r="G333" s="6" t="s">
        <v>18</v>
      </c>
      <c r="H333" s="6" t="s">
        <v>49</v>
      </c>
      <c r="I333" s="6" t="s">
        <v>142</v>
      </c>
      <c r="K333" s="3" t="b">
        <f t="shared" si="3"/>
        <v>0</v>
      </c>
      <c r="L333" s="3">
        <v>230.0</v>
      </c>
      <c r="N333" s="7">
        <v>5600.0</v>
      </c>
      <c r="O333" s="7">
        <f t="shared" si="35"/>
        <v>1288</v>
      </c>
    </row>
    <row r="334">
      <c r="A334" s="6">
        <v>2025.0</v>
      </c>
      <c r="B334" s="6" t="s">
        <v>134</v>
      </c>
      <c r="C334" s="1">
        <f t="shared" si="1"/>
        <v>5</v>
      </c>
      <c r="D334" s="2" t="s">
        <v>65</v>
      </c>
      <c r="E334" s="6">
        <f t="shared" si="2"/>
        <v>2</v>
      </c>
      <c r="F334" s="6" t="s">
        <v>30</v>
      </c>
      <c r="G334" s="6" t="s">
        <v>18</v>
      </c>
      <c r="H334" s="6" t="s">
        <v>49</v>
      </c>
      <c r="I334" s="6" t="s">
        <v>109</v>
      </c>
      <c r="K334" s="3" t="b">
        <f t="shared" si="3"/>
        <v>0</v>
      </c>
      <c r="L334" s="3">
        <v>1360.0</v>
      </c>
      <c r="N334" s="7">
        <v>3780.0</v>
      </c>
      <c r="O334" s="7">
        <f t="shared" si="35"/>
        <v>5140.8</v>
      </c>
    </row>
    <row r="335">
      <c r="A335" s="6">
        <v>2025.0</v>
      </c>
      <c r="B335" s="6" t="s">
        <v>134</v>
      </c>
      <c r="C335" s="1">
        <f t="shared" si="1"/>
        <v>5</v>
      </c>
      <c r="D335" s="2" t="s">
        <v>65</v>
      </c>
      <c r="E335" s="6">
        <f t="shared" si="2"/>
        <v>2</v>
      </c>
      <c r="F335" s="6" t="s">
        <v>30</v>
      </c>
      <c r="G335" s="6" t="s">
        <v>18</v>
      </c>
      <c r="H335" s="6" t="s">
        <v>24</v>
      </c>
      <c r="I335" s="6" t="s">
        <v>42</v>
      </c>
      <c r="K335" s="3" t="b">
        <f t="shared" si="3"/>
        <v>0</v>
      </c>
      <c r="L335" s="3">
        <v>400.0</v>
      </c>
      <c r="M335" s="6">
        <v>1.0</v>
      </c>
      <c r="N335" s="7">
        <v>19150.0</v>
      </c>
      <c r="O335" s="7">
        <f t="shared" ref="O335:O353" si="36">N335*M335</f>
        <v>19150</v>
      </c>
    </row>
    <row r="336">
      <c r="A336" s="6">
        <v>2025.0</v>
      </c>
      <c r="B336" s="6" t="s">
        <v>134</v>
      </c>
      <c r="C336" s="1">
        <f t="shared" si="1"/>
        <v>5</v>
      </c>
      <c r="D336" s="2" t="s">
        <v>65</v>
      </c>
      <c r="E336" s="6">
        <f t="shared" si="2"/>
        <v>2</v>
      </c>
      <c r="F336" s="6" t="s">
        <v>30</v>
      </c>
      <c r="G336" s="6" t="s">
        <v>18</v>
      </c>
      <c r="H336" s="6" t="s">
        <v>31</v>
      </c>
      <c r="I336" s="6" t="s">
        <v>32</v>
      </c>
      <c r="K336" s="3" t="b">
        <f t="shared" si="3"/>
        <v>0</v>
      </c>
      <c r="L336" s="3">
        <v>900.0</v>
      </c>
      <c r="M336" s="6">
        <v>1.0</v>
      </c>
      <c r="N336" s="7">
        <v>7200.0</v>
      </c>
      <c r="O336" s="7">
        <f t="shared" si="36"/>
        <v>7200</v>
      </c>
    </row>
    <row r="337">
      <c r="A337" s="6">
        <v>2025.0</v>
      </c>
      <c r="B337" s="6" t="s">
        <v>134</v>
      </c>
      <c r="C337" s="1">
        <f t="shared" si="1"/>
        <v>5</v>
      </c>
      <c r="D337" s="2" t="s">
        <v>65</v>
      </c>
      <c r="E337" s="6">
        <f t="shared" si="2"/>
        <v>2</v>
      </c>
      <c r="F337" s="6" t="s">
        <v>30</v>
      </c>
      <c r="G337" s="6" t="s">
        <v>18</v>
      </c>
      <c r="H337" s="6" t="s">
        <v>52</v>
      </c>
      <c r="I337" s="6" t="s">
        <v>54</v>
      </c>
      <c r="K337" s="3" t="b">
        <f t="shared" si="3"/>
        <v>0</v>
      </c>
      <c r="L337" s="3">
        <v>500.0</v>
      </c>
      <c r="M337" s="6">
        <v>1.0</v>
      </c>
      <c r="N337" s="7">
        <v>4390.0</v>
      </c>
      <c r="O337" s="7">
        <f t="shared" si="36"/>
        <v>4390</v>
      </c>
    </row>
    <row r="338">
      <c r="A338" s="6">
        <v>2025.0</v>
      </c>
      <c r="B338" s="6" t="s">
        <v>134</v>
      </c>
      <c r="C338" s="1">
        <f t="shared" si="1"/>
        <v>5</v>
      </c>
      <c r="D338" s="2" t="s">
        <v>65</v>
      </c>
      <c r="E338" s="6">
        <f t="shared" si="2"/>
        <v>2</v>
      </c>
      <c r="F338" s="6" t="s">
        <v>30</v>
      </c>
      <c r="G338" s="6" t="s">
        <v>18</v>
      </c>
      <c r="H338" s="6" t="s">
        <v>52</v>
      </c>
      <c r="I338" s="6" t="s">
        <v>75</v>
      </c>
      <c r="K338" s="3" t="b">
        <f t="shared" si="3"/>
        <v>0</v>
      </c>
      <c r="L338" s="3">
        <v>500.0</v>
      </c>
      <c r="M338" s="6">
        <v>1.0</v>
      </c>
      <c r="N338" s="7">
        <v>1990.0</v>
      </c>
      <c r="O338" s="7">
        <f t="shared" si="36"/>
        <v>1990</v>
      </c>
    </row>
    <row r="339">
      <c r="A339" s="6">
        <v>2025.0</v>
      </c>
      <c r="B339" s="6" t="s">
        <v>134</v>
      </c>
      <c r="C339" s="1">
        <f t="shared" si="1"/>
        <v>5</v>
      </c>
      <c r="D339" s="2" t="s">
        <v>65</v>
      </c>
      <c r="E339" s="6">
        <f t="shared" si="2"/>
        <v>2</v>
      </c>
      <c r="F339" s="6" t="s">
        <v>30</v>
      </c>
      <c r="G339" s="6" t="s">
        <v>18</v>
      </c>
      <c r="H339" s="6" t="s">
        <v>27</v>
      </c>
      <c r="I339" s="6" t="s">
        <v>40</v>
      </c>
      <c r="K339" s="3" t="b">
        <f t="shared" si="3"/>
        <v>0</v>
      </c>
      <c r="L339" s="3">
        <v>1000.0</v>
      </c>
      <c r="M339" s="6">
        <v>1.0</v>
      </c>
      <c r="N339" s="7">
        <v>4500.0</v>
      </c>
      <c r="O339" s="7">
        <f t="shared" si="36"/>
        <v>4500</v>
      </c>
    </row>
    <row r="340">
      <c r="A340" s="6">
        <v>2025.0</v>
      </c>
      <c r="B340" s="6" t="s">
        <v>134</v>
      </c>
      <c r="C340" s="1">
        <f t="shared" si="1"/>
        <v>5</v>
      </c>
      <c r="D340" s="2" t="s">
        <v>65</v>
      </c>
      <c r="E340" s="6">
        <f t="shared" si="2"/>
        <v>2</v>
      </c>
      <c r="F340" s="6" t="s">
        <v>30</v>
      </c>
      <c r="G340" s="6" t="s">
        <v>18</v>
      </c>
      <c r="H340" s="6" t="s">
        <v>37</v>
      </c>
      <c r="I340" s="6" t="s">
        <v>151</v>
      </c>
      <c r="K340" s="3" t="b">
        <f t="shared" si="3"/>
        <v>0</v>
      </c>
      <c r="L340" s="3">
        <v>142.0</v>
      </c>
      <c r="M340" s="6">
        <v>1.0</v>
      </c>
      <c r="N340" s="7">
        <v>9750.0</v>
      </c>
      <c r="O340" s="7">
        <f t="shared" si="36"/>
        <v>9750</v>
      </c>
    </row>
    <row r="341">
      <c r="A341" s="6">
        <v>2025.0</v>
      </c>
      <c r="B341" s="6" t="s">
        <v>134</v>
      </c>
      <c r="C341" s="1">
        <f t="shared" si="1"/>
        <v>5</v>
      </c>
      <c r="D341" s="2" t="s">
        <v>65</v>
      </c>
      <c r="E341" s="6">
        <f t="shared" si="2"/>
        <v>2</v>
      </c>
      <c r="F341" s="6" t="s">
        <v>30</v>
      </c>
      <c r="G341" s="6" t="s">
        <v>79</v>
      </c>
      <c r="H341" s="6" t="s">
        <v>80</v>
      </c>
      <c r="I341" s="6" t="s">
        <v>81</v>
      </c>
      <c r="K341" s="3" t="b">
        <f t="shared" si="3"/>
        <v>0</v>
      </c>
      <c r="L341" s="8"/>
      <c r="M341" s="6">
        <v>1.0</v>
      </c>
      <c r="N341" s="7">
        <v>12990.0</v>
      </c>
      <c r="O341" s="7">
        <f t="shared" si="36"/>
        <v>12990</v>
      </c>
    </row>
    <row r="342">
      <c r="A342" s="6">
        <v>2025.0</v>
      </c>
      <c r="B342" s="6" t="s">
        <v>134</v>
      </c>
      <c r="C342" s="1">
        <f t="shared" si="1"/>
        <v>5</v>
      </c>
      <c r="D342" s="2" t="s">
        <v>65</v>
      </c>
      <c r="E342" s="6">
        <f t="shared" si="2"/>
        <v>2</v>
      </c>
      <c r="F342" s="6" t="s">
        <v>30</v>
      </c>
      <c r="G342" s="6" t="s">
        <v>18</v>
      </c>
      <c r="H342" s="6" t="s">
        <v>52</v>
      </c>
      <c r="I342" s="6" t="s">
        <v>130</v>
      </c>
      <c r="K342" s="3" t="b">
        <f t="shared" si="3"/>
        <v>0</v>
      </c>
      <c r="L342" s="3">
        <v>500.0</v>
      </c>
      <c r="M342" s="6">
        <v>1.0</v>
      </c>
      <c r="N342" s="7">
        <v>3190.0</v>
      </c>
      <c r="O342" s="7">
        <f t="shared" si="36"/>
        <v>3190</v>
      </c>
    </row>
    <row r="343">
      <c r="A343" s="6">
        <v>2025.0</v>
      </c>
      <c r="B343" s="6" t="s">
        <v>152</v>
      </c>
      <c r="C343" s="1">
        <f t="shared" si="1"/>
        <v>6</v>
      </c>
      <c r="D343" s="2" t="s">
        <v>16</v>
      </c>
      <c r="E343" s="6">
        <f t="shared" si="2"/>
        <v>1</v>
      </c>
      <c r="F343" s="6" t="s">
        <v>17</v>
      </c>
      <c r="G343" s="6" t="s">
        <v>18</v>
      </c>
      <c r="H343" s="6" t="s">
        <v>27</v>
      </c>
      <c r="I343" s="6" t="s">
        <v>101</v>
      </c>
      <c r="K343" s="3" t="b">
        <f t="shared" si="3"/>
        <v>0</v>
      </c>
      <c r="L343" s="8"/>
      <c r="M343" s="6">
        <v>1.0</v>
      </c>
      <c r="N343" s="7">
        <v>4750.0</v>
      </c>
      <c r="O343" s="7">
        <f t="shared" si="36"/>
        <v>4750</v>
      </c>
    </row>
    <row r="344">
      <c r="A344" s="6">
        <v>2025.0</v>
      </c>
      <c r="B344" s="6" t="s">
        <v>152</v>
      </c>
      <c r="C344" s="1">
        <f t="shared" si="1"/>
        <v>6</v>
      </c>
      <c r="D344" s="2" t="s">
        <v>16</v>
      </c>
      <c r="E344" s="6">
        <f t="shared" si="2"/>
        <v>1</v>
      </c>
      <c r="F344" s="6" t="s">
        <v>17</v>
      </c>
      <c r="G344" s="6" t="s">
        <v>18</v>
      </c>
      <c r="H344" s="6" t="s">
        <v>27</v>
      </c>
      <c r="I344" s="6" t="s">
        <v>100</v>
      </c>
      <c r="K344" s="3" t="b">
        <f t="shared" si="3"/>
        <v>0</v>
      </c>
      <c r="L344" s="8"/>
      <c r="M344" s="6">
        <v>1.0</v>
      </c>
      <c r="N344" s="9">
        <v>3790.0</v>
      </c>
      <c r="O344" s="7">
        <f t="shared" si="36"/>
        <v>3790</v>
      </c>
    </row>
    <row r="345">
      <c r="A345" s="6">
        <v>2025.0</v>
      </c>
      <c r="B345" s="6" t="s">
        <v>152</v>
      </c>
      <c r="C345" s="1">
        <f t="shared" si="1"/>
        <v>6</v>
      </c>
      <c r="D345" s="2" t="s">
        <v>16</v>
      </c>
      <c r="E345" s="6">
        <f t="shared" si="2"/>
        <v>1</v>
      </c>
      <c r="F345" s="6" t="s">
        <v>17</v>
      </c>
      <c r="G345" s="6" t="s">
        <v>18</v>
      </c>
      <c r="H345" s="6" t="s">
        <v>19</v>
      </c>
      <c r="I345" s="6" t="s">
        <v>104</v>
      </c>
      <c r="K345" s="3" t="b">
        <f t="shared" si="3"/>
        <v>0</v>
      </c>
      <c r="L345" s="8"/>
      <c r="M345" s="6">
        <v>1.0</v>
      </c>
      <c r="N345" s="7">
        <v>7990.0</v>
      </c>
      <c r="O345" s="7">
        <f t="shared" si="36"/>
        <v>7990</v>
      </c>
    </row>
    <row r="346">
      <c r="A346" s="6">
        <v>2025.0</v>
      </c>
      <c r="B346" s="6" t="s">
        <v>152</v>
      </c>
      <c r="C346" s="1">
        <f t="shared" si="1"/>
        <v>6</v>
      </c>
      <c r="D346" s="2" t="s">
        <v>16</v>
      </c>
      <c r="E346" s="6">
        <f t="shared" si="2"/>
        <v>1</v>
      </c>
      <c r="F346" s="6" t="s">
        <v>17</v>
      </c>
      <c r="G346" s="6" t="s">
        <v>18</v>
      </c>
      <c r="H346" s="6" t="s">
        <v>37</v>
      </c>
      <c r="I346" s="6" t="s">
        <v>98</v>
      </c>
      <c r="K346" s="3" t="b">
        <f t="shared" si="3"/>
        <v>0</v>
      </c>
      <c r="L346" s="8"/>
      <c r="M346" s="6">
        <v>1.0</v>
      </c>
      <c r="N346" s="9">
        <v>8700.0</v>
      </c>
      <c r="O346" s="7">
        <f t="shared" si="36"/>
        <v>8700</v>
      </c>
    </row>
    <row r="347">
      <c r="A347" s="6">
        <v>2025.0</v>
      </c>
      <c r="B347" s="6" t="s">
        <v>152</v>
      </c>
      <c r="C347" s="1">
        <f t="shared" si="1"/>
        <v>6</v>
      </c>
      <c r="D347" s="2" t="s">
        <v>16</v>
      </c>
      <c r="E347" s="6">
        <f t="shared" si="2"/>
        <v>1</v>
      </c>
      <c r="F347" s="6" t="s">
        <v>17</v>
      </c>
      <c r="G347" s="6" t="s">
        <v>18</v>
      </c>
      <c r="H347" s="6" t="s">
        <v>37</v>
      </c>
      <c r="I347" s="6" t="s">
        <v>145</v>
      </c>
      <c r="K347" s="3" t="b">
        <f t="shared" si="3"/>
        <v>0</v>
      </c>
      <c r="L347" s="8"/>
      <c r="M347" s="6">
        <v>1.0</v>
      </c>
      <c r="N347" s="7">
        <v>11990.0</v>
      </c>
      <c r="O347" s="7">
        <f t="shared" si="36"/>
        <v>11990</v>
      </c>
    </row>
    <row r="348">
      <c r="A348" s="6">
        <v>2025.0</v>
      </c>
      <c r="B348" s="6" t="s">
        <v>152</v>
      </c>
      <c r="C348" s="1">
        <f t="shared" si="1"/>
        <v>6</v>
      </c>
      <c r="D348" s="2" t="s">
        <v>16</v>
      </c>
      <c r="E348" s="6">
        <f t="shared" si="2"/>
        <v>1</v>
      </c>
      <c r="F348" s="6" t="s">
        <v>17</v>
      </c>
      <c r="G348" s="6" t="s">
        <v>79</v>
      </c>
      <c r="H348" s="6" t="s">
        <v>96</v>
      </c>
      <c r="I348" s="6" t="s">
        <v>114</v>
      </c>
      <c r="K348" s="3" t="b">
        <f t="shared" si="3"/>
        <v>0</v>
      </c>
      <c r="L348" s="8"/>
      <c r="M348" s="6">
        <v>1.0</v>
      </c>
      <c r="N348" s="7">
        <v>4250.0</v>
      </c>
      <c r="O348" s="7">
        <f t="shared" si="36"/>
        <v>4250</v>
      </c>
    </row>
    <row r="349">
      <c r="A349" s="6">
        <v>2025.0</v>
      </c>
      <c r="B349" s="6" t="s">
        <v>152</v>
      </c>
      <c r="C349" s="1">
        <f t="shared" si="1"/>
        <v>6</v>
      </c>
      <c r="D349" s="2" t="s">
        <v>16</v>
      </c>
      <c r="E349" s="6">
        <f t="shared" si="2"/>
        <v>1</v>
      </c>
      <c r="F349" s="6" t="s">
        <v>17</v>
      </c>
      <c r="G349" s="6" t="s">
        <v>18</v>
      </c>
      <c r="H349" s="6" t="s">
        <v>37</v>
      </c>
      <c r="I349" s="6" t="s">
        <v>87</v>
      </c>
      <c r="K349" s="3" t="b">
        <f t="shared" si="3"/>
        <v>0</v>
      </c>
      <c r="L349" s="8"/>
      <c r="M349" s="6">
        <v>1.0</v>
      </c>
      <c r="N349" s="7">
        <v>7990.0</v>
      </c>
      <c r="O349" s="7">
        <f t="shared" si="36"/>
        <v>7990</v>
      </c>
    </row>
    <row r="350">
      <c r="A350" s="6">
        <v>2025.0</v>
      </c>
      <c r="B350" s="6" t="s">
        <v>152</v>
      </c>
      <c r="C350" s="1">
        <f t="shared" si="1"/>
        <v>6</v>
      </c>
      <c r="D350" s="2" t="s">
        <v>16</v>
      </c>
      <c r="E350" s="6">
        <f t="shared" si="2"/>
        <v>1</v>
      </c>
      <c r="F350" s="6" t="s">
        <v>17</v>
      </c>
      <c r="G350" s="6" t="s">
        <v>79</v>
      </c>
      <c r="H350" s="6" t="s">
        <v>96</v>
      </c>
      <c r="I350" s="6" t="s">
        <v>97</v>
      </c>
      <c r="K350" s="3" t="b">
        <f t="shared" si="3"/>
        <v>0</v>
      </c>
      <c r="L350" s="8"/>
      <c r="M350" s="6">
        <v>1.0</v>
      </c>
      <c r="N350" s="9">
        <v>5350.0</v>
      </c>
      <c r="O350" s="7">
        <f t="shared" si="36"/>
        <v>5350</v>
      </c>
    </row>
    <row r="351">
      <c r="A351" s="6">
        <v>2025.0</v>
      </c>
      <c r="B351" s="6" t="s">
        <v>152</v>
      </c>
      <c r="C351" s="1">
        <f t="shared" si="1"/>
        <v>6</v>
      </c>
      <c r="D351" s="2" t="s">
        <v>16</v>
      </c>
      <c r="E351" s="6">
        <f t="shared" si="2"/>
        <v>1</v>
      </c>
      <c r="F351" s="6" t="s">
        <v>17</v>
      </c>
      <c r="G351" s="6" t="s">
        <v>83</v>
      </c>
      <c r="H351" s="6" t="s">
        <v>89</v>
      </c>
      <c r="I351" s="6" t="s">
        <v>90</v>
      </c>
      <c r="K351" s="3" t="b">
        <f t="shared" si="3"/>
        <v>0</v>
      </c>
      <c r="L351" s="8"/>
      <c r="M351" s="6">
        <v>1.0</v>
      </c>
      <c r="N351" s="9">
        <v>2450.0</v>
      </c>
      <c r="O351" s="7">
        <f t="shared" si="36"/>
        <v>2450</v>
      </c>
    </row>
    <row r="352">
      <c r="A352" s="6">
        <v>2025.0</v>
      </c>
      <c r="B352" s="6" t="s">
        <v>152</v>
      </c>
      <c r="C352" s="1">
        <f t="shared" si="1"/>
        <v>6</v>
      </c>
      <c r="D352" s="2" t="s">
        <v>16</v>
      </c>
      <c r="E352" s="6">
        <f t="shared" si="2"/>
        <v>1</v>
      </c>
      <c r="F352" s="6" t="s">
        <v>17</v>
      </c>
      <c r="G352" s="6" t="s">
        <v>83</v>
      </c>
      <c r="H352" s="6" t="s">
        <v>89</v>
      </c>
      <c r="I352" s="6" t="s">
        <v>99</v>
      </c>
      <c r="K352" s="3" t="b">
        <f t="shared" si="3"/>
        <v>0</v>
      </c>
      <c r="L352" s="3">
        <v>500.0</v>
      </c>
      <c r="M352" s="6">
        <v>1.0</v>
      </c>
      <c r="N352" s="7">
        <v>2470.0</v>
      </c>
      <c r="O352" s="7">
        <f t="shared" si="36"/>
        <v>2470</v>
      </c>
    </row>
    <row r="353">
      <c r="A353" s="6">
        <v>2025.0</v>
      </c>
      <c r="B353" s="6" t="s">
        <v>152</v>
      </c>
      <c r="C353" s="1">
        <f t="shared" si="1"/>
        <v>6</v>
      </c>
      <c r="D353" s="2" t="s">
        <v>16</v>
      </c>
      <c r="E353" s="6">
        <f t="shared" si="2"/>
        <v>1</v>
      </c>
      <c r="F353" s="6" t="s">
        <v>17</v>
      </c>
      <c r="G353" s="6" t="s">
        <v>83</v>
      </c>
      <c r="H353" s="6" t="s">
        <v>89</v>
      </c>
      <c r="I353" s="6" t="s">
        <v>115</v>
      </c>
      <c r="K353" s="3" t="b">
        <f t="shared" si="3"/>
        <v>0</v>
      </c>
      <c r="L353" s="8"/>
      <c r="M353" s="6">
        <v>1.0</v>
      </c>
      <c r="N353" s="10">
        <v>4950.0</v>
      </c>
      <c r="O353" s="7">
        <f t="shared" si="36"/>
        <v>4950</v>
      </c>
    </row>
    <row r="354">
      <c r="A354" s="6">
        <v>2025.0</v>
      </c>
      <c r="B354" s="6" t="s">
        <v>152</v>
      </c>
      <c r="C354" s="1">
        <f t="shared" si="1"/>
        <v>6</v>
      </c>
      <c r="D354" s="2" t="s">
        <v>16</v>
      </c>
      <c r="E354" s="6">
        <f t="shared" si="2"/>
        <v>1</v>
      </c>
      <c r="F354" s="6" t="s">
        <v>30</v>
      </c>
      <c r="G354" s="6" t="s">
        <v>18</v>
      </c>
      <c r="H354" s="6" t="s">
        <v>27</v>
      </c>
      <c r="I354" s="6" t="s">
        <v>40</v>
      </c>
      <c r="J354" s="6" t="s">
        <v>41</v>
      </c>
      <c r="K354" s="3" t="b">
        <f t="shared" si="3"/>
        <v>0</v>
      </c>
      <c r="L354" s="3">
        <v>2500.0</v>
      </c>
      <c r="M354" s="6">
        <v>1.0</v>
      </c>
      <c r="N354" s="7">
        <v>8990.0</v>
      </c>
      <c r="O354" s="13">
        <f>M354*N354</f>
        <v>8990</v>
      </c>
    </row>
    <row r="355">
      <c r="A355" s="6">
        <v>2025.0</v>
      </c>
      <c r="B355" s="6" t="s">
        <v>152</v>
      </c>
      <c r="C355" s="1">
        <f t="shared" si="1"/>
        <v>6</v>
      </c>
      <c r="D355" s="2" t="s">
        <v>16</v>
      </c>
      <c r="E355" s="6">
        <f t="shared" si="2"/>
        <v>1</v>
      </c>
      <c r="F355" s="6" t="s">
        <v>30</v>
      </c>
      <c r="G355" s="6" t="s">
        <v>18</v>
      </c>
      <c r="H355" s="6" t="s">
        <v>37</v>
      </c>
      <c r="I355" s="6" t="s">
        <v>60</v>
      </c>
      <c r="J355" s="6" t="s">
        <v>30</v>
      </c>
      <c r="K355" s="3" t="b">
        <f t="shared" si="3"/>
        <v>0</v>
      </c>
      <c r="L355" s="3">
        <v>2985.0</v>
      </c>
      <c r="N355" s="7">
        <v>10980.0</v>
      </c>
      <c r="O355" s="7">
        <f t="shared" ref="O355:O375" si="37">N355*L355/1000</f>
        <v>32775.3</v>
      </c>
    </row>
    <row r="356">
      <c r="A356" s="6">
        <v>2025.0</v>
      </c>
      <c r="B356" s="6" t="s">
        <v>152</v>
      </c>
      <c r="C356" s="1">
        <f t="shared" si="1"/>
        <v>6</v>
      </c>
      <c r="D356" s="2" t="s">
        <v>16</v>
      </c>
      <c r="E356" s="6">
        <f t="shared" si="2"/>
        <v>1</v>
      </c>
      <c r="F356" s="6" t="s">
        <v>30</v>
      </c>
      <c r="G356" s="6" t="s">
        <v>18</v>
      </c>
      <c r="H356" s="6" t="s">
        <v>37</v>
      </c>
      <c r="I356" s="6" t="s">
        <v>69</v>
      </c>
      <c r="J356" s="6" t="s">
        <v>30</v>
      </c>
      <c r="K356" s="3" t="b">
        <f t="shared" si="3"/>
        <v>0</v>
      </c>
      <c r="L356" s="3">
        <v>1120.0</v>
      </c>
      <c r="N356" s="7">
        <v>19580.0</v>
      </c>
      <c r="O356" s="7">
        <f t="shared" si="37"/>
        <v>21929.6</v>
      </c>
    </row>
    <row r="357">
      <c r="A357" s="6">
        <v>2025.0</v>
      </c>
      <c r="B357" s="6" t="s">
        <v>152</v>
      </c>
      <c r="C357" s="1">
        <f t="shared" si="1"/>
        <v>6</v>
      </c>
      <c r="D357" s="2" t="s">
        <v>16</v>
      </c>
      <c r="E357" s="6">
        <f t="shared" si="2"/>
        <v>1</v>
      </c>
      <c r="F357" s="6" t="s">
        <v>30</v>
      </c>
      <c r="G357" s="6" t="s">
        <v>18</v>
      </c>
      <c r="H357" s="6" t="s">
        <v>37</v>
      </c>
      <c r="I357" s="6" t="s">
        <v>68</v>
      </c>
      <c r="J357" s="6" t="s">
        <v>30</v>
      </c>
      <c r="K357" s="3" t="b">
        <f t="shared" si="3"/>
        <v>0</v>
      </c>
      <c r="L357" s="3">
        <v>870.0</v>
      </c>
      <c r="N357" s="7">
        <v>26380.0</v>
      </c>
      <c r="O357" s="7">
        <f t="shared" si="37"/>
        <v>22950.6</v>
      </c>
    </row>
    <row r="358">
      <c r="A358" s="6">
        <v>2025.0</v>
      </c>
      <c r="B358" s="6" t="s">
        <v>152</v>
      </c>
      <c r="C358" s="1">
        <f t="shared" si="1"/>
        <v>6</v>
      </c>
      <c r="D358" s="2" t="s">
        <v>16</v>
      </c>
      <c r="E358" s="6">
        <f t="shared" si="2"/>
        <v>1</v>
      </c>
      <c r="F358" s="6" t="s">
        <v>30</v>
      </c>
      <c r="G358" s="6" t="s">
        <v>18</v>
      </c>
      <c r="H358" s="6" t="s">
        <v>37</v>
      </c>
      <c r="I358" s="6" t="s">
        <v>123</v>
      </c>
      <c r="J358" s="6" t="s">
        <v>30</v>
      </c>
      <c r="K358" s="3" t="b">
        <f t="shared" si="3"/>
        <v>0</v>
      </c>
      <c r="L358" s="3">
        <v>1438.0</v>
      </c>
      <c r="N358" s="7">
        <v>26980.0</v>
      </c>
      <c r="O358" s="7">
        <f t="shared" si="37"/>
        <v>38797.24</v>
      </c>
    </row>
    <row r="359">
      <c r="A359" s="6">
        <v>2025.0</v>
      </c>
      <c r="B359" s="6" t="s">
        <v>152</v>
      </c>
      <c r="C359" s="1">
        <f t="shared" si="1"/>
        <v>6</v>
      </c>
      <c r="D359" s="2" t="s">
        <v>16</v>
      </c>
      <c r="E359" s="6">
        <f t="shared" si="2"/>
        <v>1</v>
      </c>
      <c r="F359" s="6" t="s">
        <v>30</v>
      </c>
      <c r="G359" s="6" t="s">
        <v>18</v>
      </c>
      <c r="H359" s="6" t="s">
        <v>37</v>
      </c>
      <c r="I359" s="6" t="s">
        <v>47</v>
      </c>
      <c r="J359" s="6" t="s">
        <v>30</v>
      </c>
      <c r="K359" s="3" t="b">
        <f t="shared" si="3"/>
        <v>0</v>
      </c>
      <c r="L359" s="3">
        <v>1212.0</v>
      </c>
      <c r="N359" s="7">
        <v>31980.0</v>
      </c>
      <c r="O359" s="7">
        <f t="shared" si="37"/>
        <v>38759.76</v>
      </c>
    </row>
    <row r="360">
      <c r="A360" s="6">
        <v>2025.0</v>
      </c>
      <c r="B360" s="6" t="s">
        <v>152</v>
      </c>
      <c r="C360" s="1">
        <f t="shared" si="1"/>
        <v>6</v>
      </c>
      <c r="D360" s="2" t="s">
        <v>16</v>
      </c>
      <c r="E360" s="6">
        <f t="shared" si="2"/>
        <v>1</v>
      </c>
      <c r="F360" s="6" t="s">
        <v>30</v>
      </c>
      <c r="G360" s="6" t="s">
        <v>18</v>
      </c>
      <c r="H360" s="6" t="s">
        <v>37</v>
      </c>
      <c r="I360" s="6" t="s">
        <v>45</v>
      </c>
      <c r="J360" s="6" t="s">
        <v>30</v>
      </c>
      <c r="K360" s="3" t="b">
        <f t="shared" si="3"/>
        <v>0</v>
      </c>
      <c r="L360" s="3">
        <v>772.0</v>
      </c>
      <c r="N360" s="7">
        <v>17380.0</v>
      </c>
      <c r="O360" s="7">
        <f t="shared" si="37"/>
        <v>13417.36</v>
      </c>
    </row>
    <row r="361">
      <c r="A361" s="6">
        <v>2025.0</v>
      </c>
      <c r="B361" s="6" t="s">
        <v>152</v>
      </c>
      <c r="C361" s="1">
        <f t="shared" si="1"/>
        <v>6</v>
      </c>
      <c r="D361" s="2" t="s">
        <v>16</v>
      </c>
      <c r="E361" s="6">
        <f t="shared" si="2"/>
        <v>1</v>
      </c>
      <c r="F361" s="6" t="s">
        <v>30</v>
      </c>
      <c r="G361" s="6" t="s">
        <v>18</v>
      </c>
      <c r="H361" s="6" t="s">
        <v>37</v>
      </c>
      <c r="I361" s="6" t="s">
        <v>44</v>
      </c>
      <c r="J361" s="6" t="s">
        <v>30</v>
      </c>
      <c r="K361" s="3" t="b">
        <f t="shared" si="3"/>
        <v>0</v>
      </c>
      <c r="L361" s="3">
        <v>1050.0</v>
      </c>
      <c r="N361" s="7">
        <v>8580.0</v>
      </c>
      <c r="O361" s="7">
        <f t="shared" si="37"/>
        <v>9009</v>
      </c>
    </row>
    <row r="362">
      <c r="A362" s="6">
        <v>2025.0</v>
      </c>
      <c r="B362" s="6" t="s">
        <v>152</v>
      </c>
      <c r="C362" s="1">
        <f t="shared" si="1"/>
        <v>6</v>
      </c>
      <c r="D362" s="2" t="s">
        <v>16</v>
      </c>
      <c r="E362" s="6">
        <f t="shared" si="2"/>
        <v>1</v>
      </c>
      <c r="F362" s="6" t="s">
        <v>30</v>
      </c>
      <c r="G362" s="6" t="s">
        <v>18</v>
      </c>
      <c r="H362" s="6" t="s">
        <v>49</v>
      </c>
      <c r="I362" s="6" t="s">
        <v>74</v>
      </c>
      <c r="J362" s="6" t="s">
        <v>30</v>
      </c>
      <c r="K362" s="3" t="b">
        <f t="shared" si="3"/>
        <v>0</v>
      </c>
      <c r="L362" s="3">
        <v>2402.0</v>
      </c>
      <c r="N362" s="7">
        <v>1580.0</v>
      </c>
      <c r="O362" s="7">
        <f t="shared" si="37"/>
        <v>3795.16</v>
      </c>
    </row>
    <row r="363">
      <c r="A363" s="6">
        <v>2025.0</v>
      </c>
      <c r="B363" s="6" t="s">
        <v>152</v>
      </c>
      <c r="C363" s="1">
        <f t="shared" si="1"/>
        <v>6</v>
      </c>
      <c r="D363" s="2" t="s">
        <v>16</v>
      </c>
      <c r="E363" s="6">
        <f t="shared" si="2"/>
        <v>1</v>
      </c>
      <c r="F363" s="6" t="s">
        <v>30</v>
      </c>
      <c r="G363" s="6" t="s">
        <v>18</v>
      </c>
      <c r="H363" s="6" t="s">
        <v>49</v>
      </c>
      <c r="I363" s="6" t="s">
        <v>50</v>
      </c>
      <c r="J363" s="6" t="s">
        <v>30</v>
      </c>
      <c r="K363" s="3" t="b">
        <f t="shared" si="3"/>
        <v>0</v>
      </c>
      <c r="L363" s="3">
        <v>3542.0</v>
      </c>
      <c r="N363" s="7">
        <v>3580.0</v>
      </c>
      <c r="O363" s="7">
        <f t="shared" si="37"/>
        <v>12680.36</v>
      </c>
    </row>
    <row r="364">
      <c r="A364" s="6">
        <v>2025.0</v>
      </c>
      <c r="B364" s="6" t="s">
        <v>152</v>
      </c>
      <c r="C364" s="1">
        <f t="shared" si="1"/>
        <v>6</v>
      </c>
      <c r="D364" s="2" t="s">
        <v>16</v>
      </c>
      <c r="E364" s="6">
        <f t="shared" si="2"/>
        <v>1</v>
      </c>
      <c r="F364" s="6" t="s">
        <v>30</v>
      </c>
      <c r="G364" s="6" t="s">
        <v>18</v>
      </c>
      <c r="H364" s="6" t="s">
        <v>49</v>
      </c>
      <c r="I364" s="6" t="s">
        <v>62</v>
      </c>
      <c r="J364" s="6" t="s">
        <v>30</v>
      </c>
      <c r="K364" s="3" t="b">
        <f t="shared" si="3"/>
        <v>0</v>
      </c>
      <c r="L364" s="3">
        <v>4515.0</v>
      </c>
      <c r="N364" s="7">
        <v>4980.0</v>
      </c>
      <c r="O364" s="7">
        <f t="shared" si="37"/>
        <v>22484.7</v>
      </c>
    </row>
    <row r="365">
      <c r="A365" s="6">
        <v>2025.0</v>
      </c>
      <c r="B365" s="6" t="s">
        <v>152</v>
      </c>
      <c r="C365" s="1">
        <f t="shared" si="1"/>
        <v>6</v>
      </c>
      <c r="D365" s="2" t="s">
        <v>16</v>
      </c>
      <c r="E365" s="6">
        <f t="shared" si="2"/>
        <v>1</v>
      </c>
      <c r="F365" s="6" t="s">
        <v>30</v>
      </c>
      <c r="G365" s="6" t="s">
        <v>18</v>
      </c>
      <c r="H365" s="6" t="s">
        <v>49</v>
      </c>
      <c r="I365" s="6" t="s">
        <v>63</v>
      </c>
      <c r="J365" s="6" t="s">
        <v>30</v>
      </c>
      <c r="K365" s="3" t="b">
        <f t="shared" si="3"/>
        <v>0</v>
      </c>
      <c r="L365" s="3">
        <v>2102.0</v>
      </c>
      <c r="N365" s="7">
        <v>2580.0</v>
      </c>
      <c r="O365" s="7">
        <f t="shared" si="37"/>
        <v>5423.16</v>
      </c>
    </row>
    <row r="366">
      <c r="A366" s="6">
        <v>2025.0</v>
      </c>
      <c r="B366" s="6" t="s">
        <v>152</v>
      </c>
      <c r="C366" s="1">
        <f t="shared" si="1"/>
        <v>6</v>
      </c>
      <c r="D366" s="2" t="s">
        <v>16</v>
      </c>
      <c r="E366" s="6">
        <f t="shared" si="2"/>
        <v>1</v>
      </c>
      <c r="F366" s="6" t="s">
        <v>30</v>
      </c>
      <c r="G366" s="6" t="s">
        <v>18</v>
      </c>
      <c r="H366" s="6" t="s">
        <v>33</v>
      </c>
      <c r="I366" s="6" t="s">
        <v>70</v>
      </c>
      <c r="J366" s="6" t="s">
        <v>30</v>
      </c>
      <c r="K366" s="3" t="b">
        <f t="shared" si="3"/>
        <v>0</v>
      </c>
      <c r="L366" s="3">
        <v>2128.0</v>
      </c>
      <c r="N366" s="7">
        <v>3100.0</v>
      </c>
      <c r="O366" s="7">
        <f t="shared" si="37"/>
        <v>6596.8</v>
      </c>
    </row>
    <row r="367">
      <c r="A367" s="6">
        <v>2025.0</v>
      </c>
      <c r="B367" s="6" t="s">
        <v>152</v>
      </c>
      <c r="C367" s="1">
        <f t="shared" si="1"/>
        <v>6</v>
      </c>
      <c r="D367" s="2" t="s">
        <v>16</v>
      </c>
      <c r="E367" s="6">
        <f t="shared" si="2"/>
        <v>1</v>
      </c>
      <c r="F367" s="6" t="s">
        <v>30</v>
      </c>
      <c r="G367" s="6" t="s">
        <v>18</v>
      </c>
      <c r="H367" s="6" t="s">
        <v>49</v>
      </c>
      <c r="I367" s="6" t="s">
        <v>72</v>
      </c>
      <c r="J367" s="6" t="s">
        <v>30</v>
      </c>
      <c r="K367" s="3" t="b">
        <f t="shared" si="3"/>
        <v>0</v>
      </c>
      <c r="L367" s="3">
        <v>1040.0</v>
      </c>
      <c r="N367" s="7">
        <v>7980.0</v>
      </c>
      <c r="O367" s="7">
        <f t="shared" si="37"/>
        <v>8299.2</v>
      </c>
    </row>
    <row r="368">
      <c r="A368" s="6">
        <v>2025.0</v>
      </c>
      <c r="B368" s="6" t="s">
        <v>152</v>
      </c>
      <c r="C368" s="1">
        <f t="shared" si="1"/>
        <v>6</v>
      </c>
      <c r="D368" s="2" t="s">
        <v>16</v>
      </c>
      <c r="E368" s="6">
        <f t="shared" si="2"/>
        <v>1</v>
      </c>
      <c r="F368" s="6" t="s">
        <v>30</v>
      </c>
      <c r="G368" s="6" t="s">
        <v>18</v>
      </c>
      <c r="H368" s="6" t="s">
        <v>49</v>
      </c>
      <c r="I368" s="6" t="s">
        <v>58</v>
      </c>
      <c r="J368" s="6" t="s">
        <v>30</v>
      </c>
      <c r="K368" s="3" t="b">
        <f t="shared" si="3"/>
        <v>0</v>
      </c>
      <c r="L368" s="3">
        <v>996.0</v>
      </c>
      <c r="N368" s="7">
        <v>2980.0</v>
      </c>
      <c r="O368" s="7">
        <f t="shared" si="37"/>
        <v>2968.08</v>
      </c>
    </row>
    <row r="369">
      <c r="A369" s="6">
        <v>2025.0</v>
      </c>
      <c r="B369" s="6" t="s">
        <v>152</v>
      </c>
      <c r="C369" s="1">
        <f t="shared" si="1"/>
        <v>6</v>
      </c>
      <c r="D369" s="2" t="s">
        <v>16</v>
      </c>
      <c r="E369" s="6">
        <f t="shared" si="2"/>
        <v>1</v>
      </c>
      <c r="F369" s="6" t="s">
        <v>30</v>
      </c>
      <c r="G369" s="6" t="s">
        <v>18</v>
      </c>
      <c r="H369" s="6" t="s">
        <v>49</v>
      </c>
      <c r="I369" s="6" t="s">
        <v>57</v>
      </c>
      <c r="J369" s="6" t="s">
        <v>30</v>
      </c>
      <c r="K369" s="3" t="b">
        <f t="shared" si="3"/>
        <v>0</v>
      </c>
      <c r="L369" s="3">
        <v>2030.0</v>
      </c>
      <c r="N369" s="7">
        <v>1980.0</v>
      </c>
      <c r="O369" s="7">
        <f t="shared" si="37"/>
        <v>4019.4</v>
      </c>
    </row>
    <row r="370">
      <c r="A370" s="6">
        <v>2025.0</v>
      </c>
      <c r="B370" s="6" t="s">
        <v>152</v>
      </c>
      <c r="C370" s="1">
        <f t="shared" si="1"/>
        <v>6</v>
      </c>
      <c r="D370" s="2" t="s">
        <v>16</v>
      </c>
      <c r="E370" s="6">
        <f t="shared" si="2"/>
        <v>1</v>
      </c>
      <c r="F370" s="6" t="s">
        <v>30</v>
      </c>
      <c r="G370" s="6" t="s">
        <v>18</v>
      </c>
      <c r="H370" s="6" t="s">
        <v>33</v>
      </c>
      <c r="I370" s="6" t="s">
        <v>59</v>
      </c>
      <c r="J370" s="6" t="s">
        <v>30</v>
      </c>
      <c r="K370" s="3" t="b">
        <f t="shared" si="3"/>
        <v>0</v>
      </c>
      <c r="L370" s="3">
        <v>1652.0</v>
      </c>
      <c r="N370" s="7">
        <v>2780.0</v>
      </c>
      <c r="O370" s="7">
        <f t="shared" si="37"/>
        <v>4592.56</v>
      </c>
    </row>
    <row r="371">
      <c r="A371" s="6">
        <v>2025.0</v>
      </c>
      <c r="B371" s="6" t="s">
        <v>152</v>
      </c>
      <c r="C371" s="1">
        <f t="shared" si="1"/>
        <v>6</v>
      </c>
      <c r="D371" s="2" t="s">
        <v>16</v>
      </c>
      <c r="E371" s="6">
        <f t="shared" si="2"/>
        <v>1</v>
      </c>
      <c r="F371" s="6" t="s">
        <v>30</v>
      </c>
      <c r="G371" s="6" t="s">
        <v>18</v>
      </c>
      <c r="H371" s="6" t="s">
        <v>33</v>
      </c>
      <c r="I371" s="6" t="s">
        <v>56</v>
      </c>
      <c r="J371" s="6" t="s">
        <v>30</v>
      </c>
      <c r="K371" s="3" t="b">
        <f t="shared" si="3"/>
        <v>0</v>
      </c>
      <c r="L371" s="3">
        <v>850.0</v>
      </c>
      <c r="N371" s="7">
        <v>3580.0</v>
      </c>
      <c r="O371" s="7">
        <f t="shared" si="37"/>
        <v>3043</v>
      </c>
    </row>
    <row r="372">
      <c r="A372" s="6">
        <v>2025.0</v>
      </c>
      <c r="B372" s="6" t="s">
        <v>152</v>
      </c>
      <c r="C372" s="1">
        <f t="shared" si="1"/>
        <v>6</v>
      </c>
      <c r="D372" s="2" t="s">
        <v>16</v>
      </c>
      <c r="E372" s="6">
        <f t="shared" si="2"/>
        <v>1</v>
      </c>
      <c r="F372" s="6" t="s">
        <v>30</v>
      </c>
      <c r="G372" s="6" t="s">
        <v>18</v>
      </c>
      <c r="H372" s="6" t="s">
        <v>49</v>
      </c>
      <c r="I372" s="6" t="s">
        <v>121</v>
      </c>
      <c r="J372" s="6" t="s">
        <v>30</v>
      </c>
      <c r="K372" s="3" t="b">
        <f t="shared" si="3"/>
        <v>0</v>
      </c>
      <c r="L372" s="3">
        <v>954.0</v>
      </c>
      <c r="N372" s="7">
        <v>2300.0</v>
      </c>
      <c r="O372" s="7">
        <f t="shared" si="37"/>
        <v>2194.2</v>
      </c>
    </row>
    <row r="373">
      <c r="A373" s="6">
        <v>2025.0</v>
      </c>
      <c r="B373" s="6" t="s">
        <v>152</v>
      </c>
      <c r="C373" s="1">
        <f t="shared" si="1"/>
        <v>6</v>
      </c>
      <c r="D373" s="2" t="s">
        <v>16</v>
      </c>
      <c r="E373" s="6">
        <f t="shared" si="2"/>
        <v>1</v>
      </c>
      <c r="F373" s="6" t="s">
        <v>30</v>
      </c>
      <c r="G373" s="6" t="s">
        <v>18</v>
      </c>
      <c r="H373" s="6" t="s">
        <v>49</v>
      </c>
      <c r="I373" s="6" t="s">
        <v>153</v>
      </c>
      <c r="J373" s="6" t="s">
        <v>30</v>
      </c>
      <c r="K373" s="3" t="b">
        <f t="shared" si="3"/>
        <v>0</v>
      </c>
      <c r="L373" s="3">
        <v>420.0</v>
      </c>
      <c r="N373" s="7">
        <v>8580.0</v>
      </c>
      <c r="O373" s="7">
        <f t="shared" si="37"/>
        <v>3603.6</v>
      </c>
    </row>
    <row r="374">
      <c r="A374" s="6">
        <v>2025.0</v>
      </c>
      <c r="B374" s="6" t="s">
        <v>152</v>
      </c>
      <c r="C374" s="1">
        <f t="shared" si="1"/>
        <v>6</v>
      </c>
      <c r="D374" s="2" t="s">
        <v>16</v>
      </c>
      <c r="E374" s="6">
        <f t="shared" si="2"/>
        <v>1</v>
      </c>
      <c r="F374" s="6" t="s">
        <v>30</v>
      </c>
      <c r="G374" s="6" t="s">
        <v>18</v>
      </c>
      <c r="H374" s="6" t="s">
        <v>49</v>
      </c>
      <c r="I374" s="6" t="s">
        <v>71</v>
      </c>
      <c r="J374" s="6" t="s">
        <v>30</v>
      </c>
      <c r="K374" s="3" t="b">
        <f t="shared" si="3"/>
        <v>0</v>
      </c>
      <c r="L374" s="3">
        <v>498.0</v>
      </c>
      <c r="N374" s="7">
        <v>4480.0</v>
      </c>
      <c r="O374" s="7">
        <f t="shared" si="37"/>
        <v>2231.04</v>
      </c>
    </row>
    <row r="375">
      <c r="A375" s="6">
        <v>2025.0</v>
      </c>
      <c r="B375" s="6" t="s">
        <v>152</v>
      </c>
      <c r="C375" s="1">
        <f t="shared" si="1"/>
        <v>6</v>
      </c>
      <c r="D375" s="2" t="s">
        <v>16</v>
      </c>
      <c r="E375" s="6">
        <f t="shared" si="2"/>
        <v>1</v>
      </c>
      <c r="F375" s="6" t="s">
        <v>30</v>
      </c>
      <c r="G375" s="6" t="s">
        <v>18</v>
      </c>
      <c r="H375" s="6" t="s">
        <v>49</v>
      </c>
      <c r="I375" s="6" t="s">
        <v>61</v>
      </c>
      <c r="J375" s="6" t="s">
        <v>30</v>
      </c>
      <c r="K375" s="3" t="b">
        <f t="shared" si="3"/>
        <v>0</v>
      </c>
      <c r="L375" s="3">
        <v>788.0</v>
      </c>
      <c r="N375" s="7">
        <v>5180.0</v>
      </c>
      <c r="O375" s="7">
        <f t="shared" si="37"/>
        <v>4081.84</v>
      </c>
    </row>
    <row r="376">
      <c r="A376" s="6">
        <v>2025.0</v>
      </c>
      <c r="B376" s="6" t="s">
        <v>152</v>
      </c>
      <c r="C376" s="1">
        <f t="shared" si="1"/>
        <v>6</v>
      </c>
      <c r="D376" s="2" t="s">
        <v>16</v>
      </c>
      <c r="E376" s="6">
        <f t="shared" si="2"/>
        <v>1</v>
      </c>
      <c r="F376" s="6" t="s">
        <v>30</v>
      </c>
      <c r="G376" s="6" t="s">
        <v>18</v>
      </c>
      <c r="H376" s="6" t="s">
        <v>19</v>
      </c>
      <c r="I376" s="6" t="s">
        <v>144</v>
      </c>
      <c r="J376" s="6" t="s">
        <v>154</v>
      </c>
      <c r="K376" s="3" t="b">
        <f t="shared" si="3"/>
        <v>0</v>
      </c>
      <c r="L376" s="3">
        <v>6000.0</v>
      </c>
      <c r="M376" s="6">
        <v>1.0</v>
      </c>
      <c r="N376" s="7">
        <v>20990.0</v>
      </c>
      <c r="O376" s="13">
        <f t="shared" ref="O376:O393" si="38">N376*M376</f>
        <v>20990</v>
      </c>
    </row>
    <row r="377">
      <c r="A377" s="6">
        <v>2025.0</v>
      </c>
      <c r="B377" s="6" t="s">
        <v>152</v>
      </c>
      <c r="C377" s="1">
        <f t="shared" si="1"/>
        <v>6</v>
      </c>
      <c r="D377" s="2" t="s">
        <v>16</v>
      </c>
      <c r="E377" s="6">
        <f t="shared" si="2"/>
        <v>1</v>
      </c>
      <c r="F377" s="6" t="s">
        <v>30</v>
      </c>
      <c r="G377" s="6" t="s">
        <v>18</v>
      </c>
      <c r="H377" s="6" t="s">
        <v>76</v>
      </c>
      <c r="I377" s="6" t="s">
        <v>77</v>
      </c>
      <c r="J377" s="6" t="s">
        <v>78</v>
      </c>
      <c r="K377" s="3" t="b">
        <f t="shared" si="3"/>
        <v>0</v>
      </c>
      <c r="L377" s="3">
        <v>650.0</v>
      </c>
      <c r="M377" s="6">
        <v>1.0</v>
      </c>
      <c r="N377" s="7">
        <v>8850.0</v>
      </c>
      <c r="O377" s="13">
        <f t="shared" si="38"/>
        <v>8850</v>
      </c>
    </row>
    <row r="378">
      <c r="A378" s="6">
        <v>2025.0</v>
      </c>
      <c r="B378" s="6" t="s">
        <v>152</v>
      </c>
      <c r="C378" s="1">
        <f t="shared" si="1"/>
        <v>6</v>
      </c>
      <c r="D378" s="2" t="s">
        <v>16</v>
      </c>
      <c r="E378" s="6">
        <f t="shared" si="2"/>
        <v>1</v>
      </c>
      <c r="F378" s="6" t="s">
        <v>30</v>
      </c>
      <c r="G378" s="6" t="s">
        <v>18</v>
      </c>
      <c r="H378" s="6" t="s">
        <v>27</v>
      </c>
      <c r="I378" s="6" t="s">
        <v>110</v>
      </c>
      <c r="J378" s="6" t="s">
        <v>111</v>
      </c>
      <c r="K378" s="3" t="b">
        <f t="shared" si="3"/>
        <v>0</v>
      </c>
      <c r="L378" s="3">
        <v>1000.0</v>
      </c>
      <c r="M378" s="6">
        <v>1.0</v>
      </c>
      <c r="N378" s="7">
        <v>2650.0</v>
      </c>
      <c r="O378" s="7">
        <f t="shared" si="38"/>
        <v>2650</v>
      </c>
    </row>
    <row r="379">
      <c r="A379" s="6">
        <v>2025.0</v>
      </c>
      <c r="B379" s="6" t="s">
        <v>152</v>
      </c>
      <c r="C379" s="1">
        <f t="shared" si="1"/>
        <v>6</v>
      </c>
      <c r="D379" s="2" t="s">
        <v>16</v>
      </c>
      <c r="E379" s="6">
        <f t="shared" si="2"/>
        <v>1</v>
      </c>
      <c r="F379" s="6" t="s">
        <v>30</v>
      </c>
      <c r="G379" s="6" t="s">
        <v>18</v>
      </c>
      <c r="H379" s="6" t="s">
        <v>52</v>
      </c>
      <c r="I379" s="6" t="s">
        <v>54</v>
      </c>
      <c r="J379" s="6" t="s">
        <v>39</v>
      </c>
      <c r="K379" s="3" t="b">
        <f t="shared" si="3"/>
        <v>0</v>
      </c>
      <c r="L379" s="3">
        <v>500.0</v>
      </c>
      <c r="M379" s="6">
        <v>1.0</v>
      </c>
      <c r="N379" s="7">
        <v>4390.0</v>
      </c>
      <c r="O379" s="7">
        <f t="shared" si="38"/>
        <v>4390</v>
      </c>
    </row>
    <row r="380">
      <c r="A380" s="6">
        <v>2025.0</v>
      </c>
      <c r="B380" s="6" t="s">
        <v>152</v>
      </c>
      <c r="C380" s="1">
        <f t="shared" si="1"/>
        <v>6</v>
      </c>
      <c r="D380" s="2" t="s">
        <v>16</v>
      </c>
      <c r="E380" s="6">
        <f t="shared" si="2"/>
        <v>1</v>
      </c>
      <c r="F380" s="6" t="s">
        <v>30</v>
      </c>
      <c r="G380" s="6" t="s">
        <v>18</v>
      </c>
      <c r="H380" s="6" t="s">
        <v>24</v>
      </c>
      <c r="I380" s="6" t="s">
        <v>42</v>
      </c>
      <c r="J380" s="6" t="s">
        <v>43</v>
      </c>
      <c r="K380" s="3" t="b">
        <f t="shared" si="3"/>
        <v>0</v>
      </c>
      <c r="L380" s="3">
        <v>400.0</v>
      </c>
      <c r="M380" s="6">
        <v>1.0</v>
      </c>
      <c r="N380" s="7">
        <v>21990.0</v>
      </c>
      <c r="O380" s="7">
        <f t="shared" si="38"/>
        <v>21990</v>
      </c>
    </row>
    <row r="381">
      <c r="A381" s="6">
        <v>2025.0</v>
      </c>
      <c r="B381" s="6" t="s">
        <v>152</v>
      </c>
      <c r="C381" s="1">
        <f t="shared" si="1"/>
        <v>6</v>
      </c>
      <c r="D381" s="2" t="s">
        <v>16</v>
      </c>
      <c r="E381" s="6">
        <f t="shared" si="2"/>
        <v>1</v>
      </c>
      <c r="F381" s="6" t="s">
        <v>30</v>
      </c>
      <c r="G381" s="6" t="s">
        <v>18</v>
      </c>
      <c r="H381" s="6" t="s">
        <v>27</v>
      </c>
      <c r="I381" s="6" t="s">
        <v>112</v>
      </c>
      <c r="K381" s="3" t="b">
        <f t="shared" si="3"/>
        <v>0</v>
      </c>
      <c r="L381" s="3">
        <v>55.0</v>
      </c>
      <c r="M381" s="6">
        <v>1.0</v>
      </c>
      <c r="N381" s="7">
        <v>1990.0</v>
      </c>
      <c r="O381" s="7">
        <f t="shared" si="38"/>
        <v>1990</v>
      </c>
    </row>
    <row r="382">
      <c r="A382" s="6">
        <v>2025.0</v>
      </c>
      <c r="B382" s="6" t="s">
        <v>152</v>
      </c>
      <c r="C382" s="1">
        <f t="shared" si="1"/>
        <v>6</v>
      </c>
      <c r="D382" s="2" t="s">
        <v>16</v>
      </c>
      <c r="E382" s="6">
        <f t="shared" si="2"/>
        <v>1</v>
      </c>
      <c r="F382" s="6" t="s">
        <v>30</v>
      </c>
      <c r="G382" s="6" t="s">
        <v>18</v>
      </c>
      <c r="H382" s="6" t="s">
        <v>52</v>
      </c>
      <c r="I382" s="6" t="s">
        <v>53</v>
      </c>
      <c r="J382" s="6" t="s">
        <v>39</v>
      </c>
      <c r="K382" s="3" t="b">
        <f t="shared" si="3"/>
        <v>0</v>
      </c>
      <c r="L382" s="3">
        <v>500.0</v>
      </c>
      <c r="M382" s="6">
        <v>1.0</v>
      </c>
      <c r="N382" s="7">
        <v>3550.0</v>
      </c>
      <c r="O382" s="7">
        <f t="shared" si="38"/>
        <v>3550</v>
      </c>
    </row>
    <row r="383">
      <c r="A383" s="6">
        <v>2025.0</v>
      </c>
      <c r="B383" s="6" t="s">
        <v>152</v>
      </c>
      <c r="C383" s="1">
        <f t="shared" si="1"/>
        <v>6</v>
      </c>
      <c r="D383" s="2" t="s">
        <v>16</v>
      </c>
      <c r="E383" s="6">
        <f t="shared" si="2"/>
        <v>1</v>
      </c>
      <c r="F383" s="6" t="s">
        <v>30</v>
      </c>
      <c r="G383" s="6" t="s">
        <v>18</v>
      </c>
      <c r="H383" s="6" t="s">
        <v>31</v>
      </c>
      <c r="I383" s="6" t="s">
        <v>32</v>
      </c>
      <c r="J383" s="6" t="s">
        <v>30</v>
      </c>
      <c r="K383" s="3" t="b">
        <f t="shared" si="3"/>
        <v>0</v>
      </c>
      <c r="L383" s="3">
        <v>1800.0</v>
      </c>
      <c r="M383" s="6">
        <v>1.0</v>
      </c>
      <c r="N383" s="7">
        <v>14350.0</v>
      </c>
      <c r="O383" s="7">
        <f t="shared" si="38"/>
        <v>14350</v>
      </c>
    </row>
    <row r="384">
      <c r="A384" s="6">
        <v>2025.0</v>
      </c>
      <c r="B384" s="6" t="s">
        <v>152</v>
      </c>
      <c r="C384" s="1">
        <f t="shared" si="1"/>
        <v>6</v>
      </c>
      <c r="D384" s="2" t="s">
        <v>65</v>
      </c>
      <c r="E384" s="6">
        <f t="shared" si="2"/>
        <v>2</v>
      </c>
      <c r="F384" s="6" t="s">
        <v>17</v>
      </c>
      <c r="G384" s="6" t="s">
        <v>18</v>
      </c>
      <c r="H384" s="6" t="s">
        <v>19</v>
      </c>
      <c r="I384" s="6" t="s">
        <v>104</v>
      </c>
      <c r="K384" s="3" t="b">
        <f t="shared" si="3"/>
        <v>0</v>
      </c>
      <c r="L384" s="8"/>
      <c r="M384" s="6">
        <v>1.0</v>
      </c>
      <c r="N384" s="7">
        <v>7990.0</v>
      </c>
      <c r="O384" s="7">
        <f t="shared" si="38"/>
        <v>7990</v>
      </c>
    </row>
    <row r="385">
      <c r="A385" s="6">
        <v>2025.0</v>
      </c>
      <c r="B385" s="6" t="s">
        <v>152</v>
      </c>
      <c r="C385" s="1">
        <f t="shared" si="1"/>
        <v>6</v>
      </c>
      <c r="D385" s="2" t="s">
        <v>65</v>
      </c>
      <c r="E385" s="6">
        <f t="shared" si="2"/>
        <v>2</v>
      </c>
      <c r="F385" s="6" t="s">
        <v>17</v>
      </c>
      <c r="G385" s="6" t="s">
        <v>18</v>
      </c>
      <c r="H385" s="6" t="s">
        <v>85</v>
      </c>
      <c r="I385" s="6" t="s">
        <v>88</v>
      </c>
      <c r="K385" s="3" t="b">
        <f t="shared" si="3"/>
        <v>0</v>
      </c>
      <c r="L385" s="8"/>
      <c r="M385" s="6">
        <v>1.0</v>
      </c>
      <c r="N385" s="10">
        <v>1200.0</v>
      </c>
      <c r="O385" s="7">
        <f t="shared" si="38"/>
        <v>1200</v>
      </c>
    </row>
    <row r="386">
      <c r="A386" s="6">
        <v>2025.0</v>
      </c>
      <c r="B386" s="6" t="s">
        <v>152</v>
      </c>
      <c r="C386" s="1">
        <f t="shared" si="1"/>
        <v>6</v>
      </c>
      <c r="D386" s="2" t="s">
        <v>65</v>
      </c>
      <c r="E386" s="6">
        <f t="shared" si="2"/>
        <v>2</v>
      </c>
      <c r="F386" s="6" t="s">
        <v>17</v>
      </c>
      <c r="G386" s="6" t="s">
        <v>18</v>
      </c>
      <c r="H386" s="6" t="s">
        <v>37</v>
      </c>
      <c r="I386" s="6" t="s">
        <v>87</v>
      </c>
      <c r="K386" s="3" t="b">
        <f t="shared" si="3"/>
        <v>0</v>
      </c>
      <c r="L386" s="8"/>
      <c r="M386" s="6">
        <v>2.0</v>
      </c>
      <c r="N386" s="10">
        <v>4990.0</v>
      </c>
      <c r="O386" s="7">
        <f t="shared" si="38"/>
        <v>9980</v>
      </c>
    </row>
    <row r="387">
      <c r="A387" s="6">
        <v>2025.0</v>
      </c>
      <c r="B387" s="6" t="s">
        <v>152</v>
      </c>
      <c r="C387" s="1">
        <f t="shared" si="1"/>
        <v>6</v>
      </c>
      <c r="D387" s="2" t="s">
        <v>65</v>
      </c>
      <c r="E387" s="6">
        <f t="shared" si="2"/>
        <v>2</v>
      </c>
      <c r="F387" s="6" t="s">
        <v>17</v>
      </c>
      <c r="G387" s="6" t="s">
        <v>18</v>
      </c>
      <c r="H387" s="6" t="s">
        <v>85</v>
      </c>
      <c r="I387" s="6" t="s">
        <v>146</v>
      </c>
      <c r="K387" s="3" t="b">
        <f t="shared" si="3"/>
        <v>0</v>
      </c>
      <c r="L387" s="8"/>
      <c r="M387" s="6">
        <v>1.0</v>
      </c>
      <c r="N387" s="10">
        <v>1200.0</v>
      </c>
      <c r="O387" s="7">
        <f t="shared" si="38"/>
        <v>1200</v>
      </c>
    </row>
    <row r="388">
      <c r="A388" s="6">
        <v>2025.0</v>
      </c>
      <c r="B388" s="6" t="s">
        <v>152</v>
      </c>
      <c r="C388" s="1">
        <f t="shared" si="1"/>
        <v>6</v>
      </c>
      <c r="D388" s="2" t="s">
        <v>65</v>
      </c>
      <c r="E388" s="6">
        <f t="shared" si="2"/>
        <v>2</v>
      </c>
      <c r="F388" s="6" t="s">
        <v>17</v>
      </c>
      <c r="G388" s="6" t="s">
        <v>18</v>
      </c>
      <c r="H388" s="6" t="s">
        <v>37</v>
      </c>
      <c r="I388" s="6" t="s">
        <v>98</v>
      </c>
      <c r="K388" s="3" t="b">
        <f t="shared" si="3"/>
        <v>0</v>
      </c>
      <c r="L388" s="8"/>
      <c r="M388" s="6">
        <v>1.0</v>
      </c>
      <c r="N388" s="9">
        <v>8700.0</v>
      </c>
      <c r="O388" s="7">
        <f t="shared" si="38"/>
        <v>8700</v>
      </c>
    </row>
    <row r="389">
      <c r="A389" s="6">
        <v>2025.0</v>
      </c>
      <c r="B389" s="6" t="s">
        <v>152</v>
      </c>
      <c r="C389" s="1">
        <f t="shared" si="1"/>
        <v>6</v>
      </c>
      <c r="D389" s="2" t="s">
        <v>65</v>
      </c>
      <c r="E389" s="6">
        <f t="shared" si="2"/>
        <v>2</v>
      </c>
      <c r="F389" s="6" t="s">
        <v>17</v>
      </c>
      <c r="G389" s="6" t="s">
        <v>18</v>
      </c>
      <c r="H389" s="6" t="s">
        <v>37</v>
      </c>
      <c r="I389" s="6" t="s">
        <v>145</v>
      </c>
      <c r="K389" s="3" t="b">
        <f t="shared" si="3"/>
        <v>0</v>
      </c>
      <c r="L389" s="8"/>
      <c r="M389" s="6">
        <v>1.0</v>
      </c>
      <c r="N389" s="7">
        <v>11990.0</v>
      </c>
      <c r="O389" s="7">
        <f t="shared" si="38"/>
        <v>11990</v>
      </c>
    </row>
    <row r="390">
      <c r="A390" s="6">
        <v>2025.0</v>
      </c>
      <c r="B390" s="6" t="s">
        <v>152</v>
      </c>
      <c r="C390" s="1">
        <f t="shared" si="1"/>
        <v>6</v>
      </c>
      <c r="D390" s="2" t="s">
        <v>65</v>
      </c>
      <c r="E390" s="6">
        <f t="shared" si="2"/>
        <v>2</v>
      </c>
      <c r="F390" s="6" t="s">
        <v>17</v>
      </c>
      <c r="G390" s="6" t="s">
        <v>83</v>
      </c>
      <c r="H390" s="6" t="s">
        <v>89</v>
      </c>
      <c r="I390" s="6" t="s">
        <v>91</v>
      </c>
      <c r="K390" s="3" t="b">
        <f t="shared" si="3"/>
        <v>0</v>
      </c>
      <c r="L390" s="8"/>
      <c r="M390" s="6">
        <v>1.0</v>
      </c>
      <c r="N390" s="9">
        <v>4570.0</v>
      </c>
      <c r="O390" s="7">
        <f t="shared" si="38"/>
        <v>4570</v>
      </c>
    </row>
    <row r="391">
      <c r="A391" s="6">
        <v>2025.0</v>
      </c>
      <c r="B391" s="6" t="s">
        <v>152</v>
      </c>
      <c r="C391" s="1">
        <f t="shared" si="1"/>
        <v>6</v>
      </c>
      <c r="D391" s="2" t="s">
        <v>65</v>
      </c>
      <c r="E391" s="6">
        <f t="shared" si="2"/>
        <v>2</v>
      </c>
      <c r="F391" s="6" t="s">
        <v>17</v>
      </c>
      <c r="G391" s="6" t="s">
        <v>18</v>
      </c>
      <c r="H391" s="6" t="s">
        <v>94</v>
      </c>
      <c r="I391" s="6" t="s">
        <v>95</v>
      </c>
      <c r="K391" s="3" t="b">
        <f t="shared" si="3"/>
        <v>0</v>
      </c>
      <c r="L391" s="8"/>
      <c r="M391" s="6">
        <v>1.0</v>
      </c>
      <c r="N391" s="7">
        <v>4950.0</v>
      </c>
      <c r="O391" s="7">
        <f t="shared" si="38"/>
        <v>4950</v>
      </c>
    </row>
    <row r="392">
      <c r="A392" s="6">
        <v>2025.0</v>
      </c>
      <c r="B392" s="6" t="s">
        <v>152</v>
      </c>
      <c r="C392" s="1">
        <f t="shared" si="1"/>
        <v>6</v>
      </c>
      <c r="D392" s="2" t="s">
        <v>65</v>
      </c>
      <c r="E392" s="6">
        <f t="shared" si="2"/>
        <v>2</v>
      </c>
      <c r="F392" s="6" t="s">
        <v>17</v>
      </c>
      <c r="G392" s="6" t="s">
        <v>18</v>
      </c>
      <c r="H392" s="6" t="s">
        <v>94</v>
      </c>
      <c r="I392" s="6" t="s">
        <v>103</v>
      </c>
      <c r="K392" s="3" t="b">
        <f t="shared" si="3"/>
        <v>0</v>
      </c>
      <c r="L392" s="8"/>
      <c r="M392" s="6">
        <v>2.0</v>
      </c>
      <c r="N392" s="7">
        <v>1950.0</v>
      </c>
      <c r="O392" s="7">
        <f t="shared" si="38"/>
        <v>3900</v>
      </c>
    </row>
    <row r="393">
      <c r="A393" s="6">
        <v>2025.0</v>
      </c>
      <c r="B393" s="6" t="s">
        <v>152</v>
      </c>
      <c r="C393" s="1">
        <f t="shared" si="1"/>
        <v>6</v>
      </c>
      <c r="D393" s="2" t="s">
        <v>65</v>
      </c>
      <c r="E393" s="6">
        <f t="shared" si="2"/>
        <v>2</v>
      </c>
      <c r="F393" s="6" t="s">
        <v>17</v>
      </c>
      <c r="G393" s="6" t="s">
        <v>83</v>
      </c>
      <c r="H393" s="6" t="s">
        <v>89</v>
      </c>
      <c r="I393" s="6" t="s">
        <v>99</v>
      </c>
      <c r="K393" s="3" t="b">
        <f t="shared" si="3"/>
        <v>0</v>
      </c>
      <c r="L393" s="3">
        <v>500.0</v>
      </c>
      <c r="M393" s="6">
        <v>1.0</v>
      </c>
      <c r="N393" s="9">
        <v>2600.0</v>
      </c>
      <c r="O393" s="7">
        <f t="shared" si="38"/>
        <v>2600</v>
      </c>
    </row>
    <row r="394">
      <c r="A394" s="6">
        <v>2025.0</v>
      </c>
      <c r="B394" s="6" t="s">
        <v>152</v>
      </c>
      <c r="C394" s="1">
        <f t="shared" si="1"/>
        <v>6</v>
      </c>
      <c r="D394" s="2" t="s">
        <v>65</v>
      </c>
      <c r="E394" s="6">
        <f t="shared" si="2"/>
        <v>2</v>
      </c>
      <c r="F394" s="6" t="s">
        <v>30</v>
      </c>
      <c r="G394" s="6" t="s">
        <v>18</v>
      </c>
      <c r="H394" s="6" t="s">
        <v>37</v>
      </c>
      <c r="I394" s="6" t="s">
        <v>45</v>
      </c>
      <c r="J394" s="6" t="s">
        <v>30</v>
      </c>
      <c r="K394" s="3" t="b">
        <f t="shared" si="3"/>
        <v>0</v>
      </c>
      <c r="L394" s="3">
        <v>1374.0</v>
      </c>
      <c r="N394" s="7">
        <v>15980.0</v>
      </c>
      <c r="O394" s="7">
        <f t="shared" ref="O394:O415" si="39">N394*L394/1000</f>
        <v>21956.52</v>
      </c>
    </row>
    <row r="395">
      <c r="A395" s="6">
        <v>2025.0</v>
      </c>
      <c r="B395" s="6" t="s">
        <v>152</v>
      </c>
      <c r="C395" s="1">
        <f t="shared" si="1"/>
        <v>6</v>
      </c>
      <c r="D395" s="2" t="s">
        <v>65</v>
      </c>
      <c r="E395" s="6">
        <f t="shared" si="2"/>
        <v>2</v>
      </c>
      <c r="F395" s="6" t="s">
        <v>30</v>
      </c>
      <c r="G395" s="6" t="s">
        <v>18</v>
      </c>
      <c r="H395" s="6" t="s">
        <v>37</v>
      </c>
      <c r="I395" s="6" t="s">
        <v>47</v>
      </c>
      <c r="J395" s="6" t="s">
        <v>30</v>
      </c>
      <c r="K395" s="3" t="b">
        <f t="shared" si="3"/>
        <v>0</v>
      </c>
      <c r="L395" s="3">
        <v>1584.0</v>
      </c>
      <c r="N395" s="7">
        <v>32580.0</v>
      </c>
      <c r="O395" s="7">
        <f t="shared" si="39"/>
        <v>51606.72</v>
      </c>
    </row>
    <row r="396">
      <c r="A396" s="6">
        <v>2025.0</v>
      </c>
      <c r="B396" s="6" t="s">
        <v>152</v>
      </c>
      <c r="C396" s="1">
        <f t="shared" si="1"/>
        <v>6</v>
      </c>
      <c r="D396" s="2" t="s">
        <v>65</v>
      </c>
      <c r="E396" s="6">
        <f t="shared" si="2"/>
        <v>2</v>
      </c>
      <c r="F396" s="6" t="s">
        <v>30</v>
      </c>
      <c r="G396" s="6" t="s">
        <v>18</v>
      </c>
      <c r="H396" s="6" t="s">
        <v>37</v>
      </c>
      <c r="I396" s="6" t="s">
        <v>67</v>
      </c>
      <c r="J396" s="6" t="s">
        <v>30</v>
      </c>
      <c r="K396" s="3" t="b">
        <f t="shared" si="3"/>
        <v>0</v>
      </c>
      <c r="L396" s="3">
        <v>992.0</v>
      </c>
      <c r="N396" s="7">
        <v>15700.0</v>
      </c>
      <c r="O396" s="7">
        <f t="shared" si="39"/>
        <v>15574.4</v>
      </c>
    </row>
    <row r="397">
      <c r="A397" s="6">
        <v>2025.0</v>
      </c>
      <c r="B397" s="6" t="s">
        <v>152</v>
      </c>
      <c r="C397" s="1">
        <f t="shared" si="1"/>
        <v>6</v>
      </c>
      <c r="D397" s="2" t="s">
        <v>65</v>
      </c>
      <c r="E397" s="6">
        <f t="shared" si="2"/>
        <v>2</v>
      </c>
      <c r="F397" s="6" t="s">
        <v>30</v>
      </c>
      <c r="G397" s="6" t="s">
        <v>18</v>
      </c>
      <c r="H397" s="6" t="s">
        <v>37</v>
      </c>
      <c r="I397" s="6" t="s">
        <v>123</v>
      </c>
      <c r="J397" s="6" t="s">
        <v>30</v>
      </c>
      <c r="K397" s="3" t="b">
        <f t="shared" si="3"/>
        <v>0</v>
      </c>
      <c r="L397" s="3">
        <v>1324.0</v>
      </c>
      <c r="N397" s="7">
        <v>26980.0</v>
      </c>
      <c r="O397" s="7">
        <f t="shared" si="39"/>
        <v>35721.52</v>
      </c>
    </row>
    <row r="398">
      <c r="A398" s="6">
        <v>2025.0</v>
      </c>
      <c r="B398" s="6" t="s">
        <v>152</v>
      </c>
      <c r="C398" s="1">
        <f t="shared" si="1"/>
        <v>6</v>
      </c>
      <c r="D398" s="2" t="s">
        <v>65</v>
      </c>
      <c r="E398" s="6">
        <f t="shared" si="2"/>
        <v>2</v>
      </c>
      <c r="F398" s="6" t="s">
        <v>30</v>
      </c>
      <c r="G398" s="6" t="s">
        <v>18</v>
      </c>
      <c r="H398" s="6" t="s">
        <v>37</v>
      </c>
      <c r="I398" s="6" t="s">
        <v>68</v>
      </c>
      <c r="J398" s="6" t="s">
        <v>30</v>
      </c>
      <c r="K398" s="3" t="b">
        <f t="shared" si="3"/>
        <v>0</v>
      </c>
      <c r="L398" s="3">
        <v>1172.0</v>
      </c>
      <c r="M398" s="6"/>
      <c r="N398" s="7">
        <v>26380.0</v>
      </c>
      <c r="O398" s="7">
        <f t="shared" si="39"/>
        <v>30917.36</v>
      </c>
    </row>
    <row r="399">
      <c r="A399" s="6">
        <v>2025.0</v>
      </c>
      <c r="B399" s="6" t="s">
        <v>152</v>
      </c>
      <c r="C399" s="1">
        <f t="shared" si="1"/>
        <v>6</v>
      </c>
      <c r="D399" s="2" t="s">
        <v>65</v>
      </c>
      <c r="E399" s="6">
        <f t="shared" si="2"/>
        <v>2</v>
      </c>
      <c r="F399" s="6" t="s">
        <v>30</v>
      </c>
      <c r="G399" s="6" t="s">
        <v>18</v>
      </c>
      <c r="H399" s="6" t="s">
        <v>37</v>
      </c>
      <c r="I399" s="6" t="s">
        <v>60</v>
      </c>
      <c r="J399" s="6" t="s">
        <v>30</v>
      </c>
      <c r="K399" s="3" t="b">
        <f t="shared" si="3"/>
        <v>0</v>
      </c>
      <c r="L399" s="3">
        <v>2715.0</v>
      </c>
      <c r="N399" s="7">
        <v>10980.0</v>
      </c>
      <c r="O399" s="7">
        <f t="shared" si="39"/>
        <v>29810.7</v>
      </c>
    </row>
    <row r="400">
      <c r="A400" s="6">
        <v>2025.0</v>
      </c>
      <c r="B400" s="6" t="s">
        <v>152</v>
      </c>
      <c r="C400" s="1">
        <f t="shared" si="1"/>
        <v>6</v>
      </c>
      <c r="D400" s="2" t="s">
        <v>65</v>
      </c>
      <c r="E400" s="6">
        <f t="shared" si="2"/>
        <v>2</v>
      </c>
      <c r="F400" s="6" t="s">
        <v>30</v>
      </c>
      <c r="G400" s="6" t="s">
        <v>18</v>
      </c>
      <c r="H400" s="6" t="s">
        <v>37</v>
      </c>
      <c r="I400" s="6" t="s">
        <v>69</v>
      </c>
      <c r="J400" s="6" t="s">
        <v>30</v>
      </c>
      <c r="K400" s="3" t="b">
        <f t="shared" si="3"/>
        <v>0</v>
      </c>
      <c r="L400" s="3">
        <v>995.0</v>
      </c>
      <c r="N400" s="7">
        <v>11980.0</v>
      </c>
      <c r="O400" s="7">
        <f t="shared" si="39"/>
        <v>11920.1</v>
      </c>
    </row>
    <row r="401">
      <c r="A401" s="6">
        <v>2025.0</v>
      </c>
      <c r="B401" s="6" t="s">
        <v>152</v>
      </c>
      <c r="C401" s="1">
        <f t="shared" si="1"/>
        <v>6</v>
      </c>
      <c r="D401" s="2" t="s">
        <v>65</v>
      </c>
      <c r="E401" s="6">
        <f t="shared" si="2"/>
        <v>2</v>
      </c>
      <c r="F401" s="6" t="s">
        <v>30</v>
      </c>
      <c r="G401" s="6" t="s">
        <v>18</v>
      </c>
      <c r="H401" s="6" t="s">
        <v>49</v>
      </c>
      <c r="I401" s="6" t="s">
        <v>109</v>
      </c>
      <c r="J401" s="6" t="s">
        <v>30</v>
      </c>
      <c r="K401" s="3" t="b">
        <f t="shared" si="3"/>
        <v>0</v>
      </c>
      <c r="L401" s="3">
        <v>1365.0</v>
      </c>
      <c r="N401" s="7">
        <v>3880.0</v>
      </c>
      <c r="O401" s="7">
        <f t="shared" si="39"/>
        <v>5296.2</v>
      </c>
    </row>
    <row r="402">
      <c r="A402" s="6">
        <v>2025.0</v>
      </c>
      <c r="B402" s="6" t="s">
        <v>152</v>
      </c>
      <c r="C402" s="1">
        <f t="shared" si="1"/>
        <v>6</v>
      </c>
      <c r="D402" s="2" t="s">
        <v>65</v>
      </c>
      <c r="E402" s="6">
        <f t="shared" si="2"/>
        <v>2</v>
      </c>
      <c r="F402" s="6" t="s">
        <v>30</v>
      </c>
      <c r="G402" s="6" t="s">
        <v>18</v>
      </c>
      <c r="H402" s="6" t="s">
        <v>33</v>
      </c>
      <c r="I402" s="6" t="s">
        <v>70</v>
      </c>
      <c r="J402" s="6" t="s">
        <v>30</v>
      </c>
      <c r="K402" s="3" t="b">
        <f t="shared" si="3"/>
        <v>0</v>
      </c>
      <c r="L402" s="3">
        <v>2560.0</v>
      </c>
      <c r="N402" s="7">
        <v>3380.0</v>
      </c>
      <c r="O402" s="7">
        <f t="shared" si="39"/>
        <v>8652.8</v>
      </c>
    </row>
    <row r="403">
      <c r="A403" s="6">
        <v>2025.0</v>
      </c>
      <c r="B403" s="6" t="s">
        <v>152</v>
      </c>
      <c r="C403" s="1">
        <f t="shared" si="1"/>
        <v>6</v>
      </c>
      <c r="D403" s="2" t="s">
        <v>65</v>
      </c>
      <c r="E403" s="6">
        <f t="shared" si="2"/>
        <v>2</v>
      </c>
      <c r="F403" s="6" t="s">
        <v>30</v>
      </c>
      <c r="G403" s="6" t="s">
        <v>18</v>
      </c>
      <c r="H403" s="6" t="s">
        <v>33</v>
      </c>
      <c r="I403" s="6" t="s">
        <v>59</v>
      </c>
      <c r="J403" s="6" t="s">
        <v>30</v>
      </c>
      <c r="K403" s="3" t="b">
        <f t="shared" si="3"/>
        <v>0</v>
      </c>
      <c r="L403" s="3">
        <v>1410.0</v>
      </c>
      <c r="N403" s="7">
        <v>2780.0</v>
      </c>
      <c r="O403" s="7">
        <f t="shared" si="39"/>
        <v>3919.8</v>
      </c>
    </row>
    <row r="404">
      <c r="A404" s="6">
        <v>2025.0</v>
      </c>
      <c r="B404" s="6" t="s">
        <v>152</v>
      </c>
      <c r="C404" s="1">
        <f t="shared" si="1"/>
        <v>6</v>
      </c>
      <c r="D404" s="2" t="s">
        <v>65</v>
      </c>
      <c r="E404" s="6">
        <f t="shared" si="2"/>
        <v>2</v>
      </c>
      <c r="F404" s="6" t="s">
        <v>30</v>
      </c>
      <c r="G404" s="6" t="s">
        <v>18</v>
      </c>
      <c r="H404" s="6" t="s">
        <v>33</v>
      </c>
      <c r="I404" s="6" t="s">
        <v>150</v>
      </c>
      <c r="J404" s="6" t="s">
        <v>30</v>
      </c>
      <c r="K404" s="3" t="b">
        <f t="shared" si="3"/>
        <v>0</v>
      </c>
      <c r="L404" s="3">
        <v>405.0</v>
      </c>
      <c r="N404" s="7">
        <v>3580.0</v>
      </c>
      <c r="O404" s="7">
        <f t="shared" si="39"/>
        <v>1449.9</v>
      </c>
    </row>
    <row r="405">
      <c r="A405" s="6">
        <v>2025.0</v>
      </c>
      <c r="B405" s="6" t="s">
        <v>152</v>
      </c>
      <c r="C405" s="1">
        <f t="shared" si="1"/>
        <v>6</v>
      </c>
      <c r="D405" s="2" t="s">
        <v>65</v>
      </c>
      <c r="E405" s="6">
        <f t="shared" si="2"/>
        <v>2</v>
      </c>
      <c r="F405" s="6" t="s">
        <v>30</v>
      </c>
      <c r="G405" s="6" t="s">
        <v>18</v>
      </c>
      <c r="H405" s="6" t="s">
        <v>49</v>
      </c>
      <c r="I405" s="6" t="s">
        <v>131</v>
      </c>
      <c r="J405" s="6" t="s">
        <v>30</v>
      </c>
      <c r="K405" s="3" t="b">
        <f t="shared" si="3"/>
        <v>0</v>
      </c>
      <c r="L405" s="3">
        <v>965.0</v>
      </c>
      <c r="N405" s="7">
        <v>4580.0</v>
      </c>
      <c r="O405" s="7">
        <f t="shared" si="39"/>
        <v>4419.7</v>
      </c>
    </row>
    <row r="406">
      <c r="A406" s="6">
        <v>2025.0</v>
      </c>
      <c r="B406" s="6" t="s">
        <v>152</v>
      </c>
      <c r="C406" s="1">
        <f t="shared" si="1"/>
        <v>6</v>
      </c>
      <c r="D406" s="2" t="s">
        <v>65</v>
      </c>
      <c r="E406" s="6">
        <f t="shared" si="2"/>
        <v>2</v>
      </c>
      <c r="F406" s="6" t="s">
        <v>30</v>
      </c>
      <c r="G406" s="6" t="s">
        <v>18</v>
      </c>
      <c r="H406" s="6" t="s">
        <v>49</v>
      </c>
      <c r="I406" s="6" t="s">
        <v>71</v>
      </c>
      <c r="J406" s="6" t="s">
        <v>30</v>
      </c>
      <c r="K406" s="3" t="b">
        <f t="shared" si="3"/>
        <v>0</v>
      </c>
      <c r="L406" s="3">
        <v>880.0</v>
      </c>
      <c r="N406" s="7">
        <v>4000.0</v>
      </c>
      <c r="O406" s="7">
        <f t="shared" si="39"/>
        <v>3520</v>
      </c>
    </row>
    <row r="407">
      <c r="A407" s="6">
        <v>2025.0</v>
      </c>
      <c r="B407" s="6" t="s">
        <v>152</v>
      </c>
      <c r="C407" s="1">
        <f t="shared" si="1"/>
        <v>6</v>
      </c>
      <c r="D407" s="2" t="s">
        <v>65</v>
      </c>
      <c r="E407" s="6">
        <f t="shared" si="2"/>
        <v>2</v>
      </c>
      <c r="F407" s="6" t="s">
        <v>30</v>
      </c>
      <c r="G407" s="6" t="s">
        <v>18</v>
      </c>
      <c r="H407" s="6" t="s">
        <v>49</v>
      </c>
      <c r="I407" s="6" t="s">
        <v>58</v>
      </c>
      <c r="J407" s="14" t="s">
        <v>30</v>
      </c>
      <c r="K407" s="3" t="b">
        <f t="shared" si="3"/>
        <v>0</v>
      </c>
      <c r="L407" s="15">
        <v>1160.0</v>
      </c>
      <c r="M407" s="16"/>
      <c r="N407" s="10">
        <v>3380.0</v>
      </c>
      <c r="O407" s="9">
        <f t="shared" si="39"/>
        <v>3920.8</v>
      </c>
    </row>
    <row r="408">
      <c r="A408" s="6">
        <v>2025.0</v>
      </c>
      <c r="B408" s="6" t="s">
        <v>152</v>
      </c>
      <c r="C408" s="1">
        <f t="shared" si="1"/>
        <v>6</v>
      </c>
      <c r="D408" s="2" t="s">
        <v>65</v>
      </c>
      <c r="E408" s="6">
        <f t="shared" si="2"/>
        <v>2</v>
      </c>
      <c r="F408" s="6" t="s">
        <v>30</v>
      </c>
      <c r="G408" s="6" t="s">
        <v>18</v>
      </c>
      <c r="H408" s="6" t="s">
        <v>49</v>
      </c>
      <c r="I408" s="6" t="s">
        <v>50</v>
      </c>
      <c r="J408" s="6" t="s">
        <v>30</v>
      </c>
      <c r="K408" s="3" t="b">
        <f t="shared" si="3"/>
        <v>0</v>
      </c>
      <c r="L408" s="3">
        <v>3455.0</v>
      </c>
      <c r="N408" s="7">
        <v>3380.0</v>
      </c>
      <c r="O408" s="7">
        <f t="shared" si="39"/>
        <v>11677.9</v>
      </c>
    </row>
    <row r="409">
      <c r="A409" s="6">
        <v>2025.0</v>
      </c>
      <c r="B409" s="6" t="s">
        <v>152</v>
      </c>
      <c r="C409" s="1">
        <f t="shared" si="1"/>
        <v>6</v>
      </c>
      <c r="D409" s="2" t="s">
        <v>65</v>
      </c>
      <c r="E409" s="6">
        <f t="shared" si="2"/>
        <v>2</v>
      </c>
      <c r="F409" s="6" t="s">
        <v>30</v>
      </c>
      <c r="G409" s="6" t="s">
        <v>18</v>
      </c>
      <c r="H409" s="6" t="s">
        <v>49</v>
      </c>
      <c r="I409" s="6" t="s">
        <v>142</v>
      </c>
      <c r="J409" s="6" t="s">
        <v>30</v>
      </c>
      <c r="K409" s="3" t="b">
        <f t="shared" si="3"/>
        <v>0</v>
      </c>
      <c r="L409" s="3">
        <v>225.0</v>
      </c>
      <c r="N409" s="7">
        <v>5980.0</v>
      </c>
      <c r="O409" s="7">
        <f t="shared" si="39"/>
        <v>1345.5</v>
      </c>
    </row>
    <row r="410">
      <c r="A410" s="6">
        <v>2025.0</v>
      </c>
      <c r="B410" s="6" t="s">
        <v>152</v>
      </c>
      <c r="C410" s="1">
        <f t="shared" si="1"/>
        <v>6</v>
      </c>
      <c r="D410" s="2" t="s">
        <v>65</v>
      </c>
      <c r="E410" s="6">
        <f t="shared" si="2"/>
        <v>2</v>
      </c>
      <c r="F410" s="6" t="s">
        <v>30</v>
      </c>
      <c r="G410" s="6" t="s">
        <v>18</v>
      </c>
      <c r="H410" s="6" t="s">
        <v>49</v>
      </c>
      <c r="I410" s="6" t="s">
        <v>61</v>
      </c>
      <c r="J410" s="6" t="s">
        <v>30</v>
      </c>
      <c r="K410" s="3" t="b">
        <f t="shared" si="3"/>
        <v>0</v>
      </c>
      <c r="L410" s="3">
        <v>1070.0</v>
      </c>
      <c r="N410" s="7">
        <v>5980.0</v>
      </c>
      <c r="O410" s="7">
        <f t="shared" si="39"/>
        <v>6398.6</v>
      </c>
    </row>
    <row r="411">
      <c r="A411" s="6">
        <v>2025.0</v>
      </c>
      <c r="B411" s="6" t="s">
        <v>152</v>
      </c>
      <c r="C411" s="1">
        <f t="shared" si="1"/>
        <v>6</v>
      </c>
      <c r="D411" s="2" t="s">
        <v>65</v>
      </c>
      <c r="E411" s="6">
        <f t="shared" si="2"/>
        <v>2</v>
      </c>
      <c r="F411" s="6" t="s">
        <v>30</v>
      </c>
      <c r="G411" s="6" t="s">
        <v>18</v>
      </c>
      <c r="H411" s="6" t="s">
        <v>49</v>
      </c>
      <c r="I411" s="6" t="s">
        <v>62</v>
      </c>
      <c r="J411" s="6" t="s">
        <v>30</v>
      </c>
      <c r="K411" s="3" t="b">
        <f t="shared" si="3"/>
        <v>0</v>
      </c>
      <c r="L411" s="3">
        <v>3365.0</v>
      </c>
      <c r="N411" s="7">
        <v>4980.0</v>
      </c>
      <c r="O411" s="7">
        <f t="shared" si="39"/>
        <v>16757.7</v>
      </c>
    </row>
    <row r="412">
      <c r="A412" s="6">
        <v>2025.0</v>
      </c>
      <c r="B412" s="6" t="s">
        <v>152</v>
      </c>
      <c r="C412" s="1">
        <f t="shared" si="1"/>
        <v>6</v>
      </c>
      <c r="D412" s="2" t="s">
        <v>65</v>
      </c>
      <c r="E412" s="6">
        <f t="shared" si="2"/>
        <v>2</v>
      </c>
      <c r="F412" s="6" t="s">
        <v>30</v>
      </c>
      <c r="G412" s="6" t="s">
        <v>18</v>
      </c>
      <c r="H412" s="6" t="s">
        <v>49</v>
      </c>
      <c r="I412" s="6" t="s">
        <v>57</v>
      </c>
      <c r="J412" s="6" t="s">
        <v>30</v>
      </c>
      <c r="K412" s="3" t="b">
        <f t="shared" si="3"/>
        <v>0</v>
      </c>
      <c r="L412" s="3">
        <v>1710.0</v>
      </c>
      <c r="N412" s="7">
        <v>1580.0</v>
      </c>
      <c r="O412" s="7">
        <f t="shared" si="39"/>
        <v>2701.8</v>
      </c>
    </row>
    <row r="413">
      <c r="A413" s="6">
        <v>2025.0</v>
      </c>
      <c r="B413" s="6" t="s">
        <v>152</v>
      </c>
      <c r="C413" s="1">
        <f t="shared" si="1"/>
        <v>6</v>
      </c>
      <c r="D413" s="2" t="s">
        <v>65</v>
      </c>
      <c r="E413" s="6">
        <f t="shared" si="2"/>
        <v>2</v>
      </c>
      <c r="F413" s="6" t="s">
        <v>30</v>
      </c>
      <c r="G413" s="6" t="s">
        <v>18</v>
      </c>
      <c r="H413" s="6" t="s">
        <v>49</v>
      </c>
      <c r="I413" s="6" t="s">
        <v>153</v>
      </c>
      <c r="J413" s="6" t="s">
        <v>30</v>
      </c>
      <c r="K413" s="3" t="b">
        <f t="shared" si="3"/>
        <v>0</v>
      </c>
      <c r="L413" s="3">
        <v>475.0</v>
      </c>
      <c r="N413" s="7">
        <v>8580.0</v>
      </c>
      <c r="O413" s="7">
        <f t="shared" si="39"/>
        <v>4075.5</v>
      </c>
    </row>
    <row r="414">
      <c r="A414" s="6">
        <v>2025.0</v>
      </c>
      <c r="B414" s="6" t="s">
        <v>152</v>
      </c>
      <c r="C414" s="1">
        <f t="shared" si="1"/>
        <v>6</v>
      </c>
      <c r="D414" s="2" t="s">
        <v>65</v>
      </c>
      <c r="E414" s="6">
        <f t="shared" si="2"/>
        <v>2</v>
      </c>
      <c r="F414" s="6" t="s">
        <v>30</v>
      </c>
      <c r="G414" s="6" t="s">
        <v>18</v>
      </c>
      <c r="H414" s="6" t="s">
        <v>33</v>
      </c>
      <c r="I414" s="6" t="s">
        <v>34</v>
      </c>
      <c r="J414" s="6" t="s">
        <v>30</v>
      </c>
      <c r="K414" s="3" t="b">
        <f t="shared" si="3"/>
        <v>0</v>
      </c>
      <c r="L414" s="3">
        <v>935.0</v>
      </c>
      <c r="N414" s="7">
        <v>10000.0</v>
      </c>
      <c r="O414" s="7">
        <f t="shared" si="39"/>
        <v>9350</v>
      </c>
    </row>
    <row r="415">
      <c r="A415" s="6">
        <v>2025.0</v>
      </c>
      <c r="B415" s="6" t="s">
        <v>152</v>
      </c>
      <c r="C415" s="1">
        <f t="shared" si="1"/>
        <v>6</v>
      </c>
      <c r="D415" s="2" t="s">
        <v>65</v>
      </c>
      <c r="E415" s="6">
        <f t="shared" si="2"/>
        <v>2</v>
      </c>
      <c r="F415" s="6" t="s">
        <v>30</v>
      </c>
      <c r="G415" s="6" t="s">
        <v>18</v>
      </c>
      <c r="H415" s="6" t="s">
        <v>33</v>
      </c>
      <c r="I415" s="6" t="s">
        <v>56</v>
      </c>
      <c r="J415" s="6" t="s">
        <v>30</v>
      </c>
      <c r="K415" s="3" t="b">
        <f t="shared" si="3"/>
        <v>0</v>
      </c>
      <c r="L415" s="3">
        <v>490.0</v>
      </c>
      <c r="N415" s="7">
        <v>3580.0</v>
      </c>
      <c r="O415" s="7">
        <f t="shared" si="39"/>
        <v>1754.2</v>
      </c>
    </row>
    <row r="416">
      <c r="A416" s="6">
        <v>2025.0</v>
      </c>
      <c r="B416" s="6" t="s">
        <v>152</v>
      </c>
      <c r="C416" s="1">
        <f t="shared" si="1"/>
        <v>6</v>
      </c>
      <c r="D416" s="2" t="s">
        <v>65</v>
      </c>
      <c r="E416" s="6">
        <f t="shared" si="2"/>
        <v>2</v>
      </c>
      <c r="F416" s="6" t="s">
        <v>30</v>
      </c>
      <c r="G416" s="6" t="s">
        <v>18</v>
      </c>
      <c r="H416" s="6" t="s">
        <v>35</v>
      </c>
      <c r="I416" s="6" t="s">
        <v>155</v>
      </c>
      <c r="J416" s="6" t="s">
        <v>30</v>
      </c>
      <c r="K416" s="3" t="b">
        <f t="shared" si="3"/>
        <v>0</v>
      </c>
      <c r="L416" s="8"/>
      <c r="M416" s="6">
        <v>1.0</v>
      </c>
      <c r="N416" s="7">
        <v>650.0</v>
      </c>
      <c r="O416" s="13">
        <f>M416*N416</f>
        <v>650</v>
      </c>
    </row>
    <row r="417">
      <c r="A417" s="6">
        <v>2025.0</v>
      </c>
      <c r="B417" s="6" t="s">
        <v>152</v>
      </c>
      <c r="C417" s="1">
        <f t="shared" si="1"/>
        <v>6</v>
      </c>
      <c r="D417" s="2" t="s">
        <v>65</v>
      </c>
      <c r="E417" s="6">
        <f t="shared" si="2"/>
        <v>2</v>
      </c>
      <c r="F417" s="6" t="s">
        <v>30</v>
      </c>
      <c r="G417" s="6" t="s">
        <v>18</v>
      </c>
      <c r="H417" s="6" t="s">
        <v>49</v>
      </c>
      <c r="I417" s="6" t="s">
        <v>63</v>
      </c>
      <c r="J417" s="6" t="s">
        <v>30</v>
      </c>
      <c r="K417" s="3" t="b">
        <f t="shared" si="3"/>
        <v>0</v>
      </c>
      <c r="L417" s="3">
        <v>1040.0</v>
      </c>
      <c r="N417" s="7">
        <v>3580.0</v>
      </c>
      <c r="O417" s="7">
        <f>N417*L417/1000</f>
        <v>3723.2</v>
      </c>
    </row>
    <row r="418">
      <c r="A418" s="6">
        <v>2025.0</v>
      </c>
      <c r="B418" s="6" t="s">
        <v>152</v>
      </c>
      <c r="C418" s="1">
        <f t="shared" si="1"/>
        <v>6</v>
      </c>
      <c r="D418" s="2" t="s">
        <v>65</v>
      </c>
      <c r="E418" s="6">
        <f t="shared" si="2"/>
        <v>2</v>
      </c>
      <c r="F418" s="6" t="s">
        <v>30</v>
      </c>
      <c r="G418" s="6" t="s">
        <v>18</v>
      </c>
      <c r="H418" s="6" t="s">
        <v>92</v>
      </c>
      <c r="I418" s="6" t="s">
        <v>122</v>
      </c>
      <c r="J418" s="6" t="s">
        <v>156</v>
      </c>
      <c r="K418" s="3" t="b">
        <f t="shared" si="3"/>
        <v>0</v>
      </c>
      <c r="L418" s="3">
        <v>500.0</v>
      </c>
      <c r="M418" s="6">
        <v>2.0</v>
      </c>
      <c r="N418" s="7">
        <v>1500.0</v>
      </c>
      <c r="O418" s="13">
        <f>M418*N418</f>
        <v>3000</v>
      </c>
    </row>
    <row r="419">
      <c r="A419" s="6">
        <v>2025.0</v>
      </c>
      <c r="B419" s="6" t="s">
        <v>152</v>
      </c>
      <c r="C419" s="1">
        <f t="shared" si="1"/>
        <v>6</v>
      </c>
      <c r="D419" s="2" t="s">
        <v>65</v>
      </c>
      <c r="E419" s="6">
        <f t="shared" si="2"/>
        <v>2</v>
      </c>
      <c r="F419" s="6" t="s">
        <v>30</v>
      </c>
      <c r="G419" s="6" t="s">
        <v>18</v>
      </c>
      <c r="H419" s="6" t="s">
        <v>24</v>
      </c>
      <c r="I419" s="6" t="s">
        <v>42</v>
      </c>
      <c r="J419" s="16" t="s">
        <v>43</v>
      </c>
      <c r="K419" s="3" t="b">
        <f t="shared" si="3"/>
        <v>0</v>
      </c>
      <c r="L419" s="15">
        <v>400.0</v>
      </c>
      <c r="M419" s="17">
        <v>1.0</v>
      </c>
      <c r="N419" s="10">
        <v>21900.0</v>
      </c>
      <c r="O419" s="9">
        <f t="shared" ref="O419:O441" si="40">N419*M419</f>
        <v>21900</v>
      </c>
    </row>
    <row r="420">
      <c r="A420" s="6">
        <v>2025.0</v>
      </c>
      <c r="B420" s="6" t="s">
        <v>152</v>
      </c>
      <c r="C420" s="1">
        <f t="shared" si="1"/>
        <v>6</v>
      </c>
      <c r="D420" s="2" t="s">
        <v>65</v>
      </c>
      <c r="E420" s="6">
        <f t="shared" si="2"/>
        <v>2</v>
      </c>
      <c r="F420" s="6" t="s">
        <v>30</v>
      </c>
      <c r="G420" s="6" t="s">
        <v>18</v>
      </c>
      <c r="H420" s="6" t="s">
        <v>52</v>
      </c>
      <c r="I420" s="6" t="s">
        <v>55</v>
      </c>
      <c r="J420" s="6" t="s">
        <v>39</v>
      </c>
      <c r="K420" s="3" t="b">
        <f t="shared" si="3"/>
        <v>0</v>
      </c>
      <c r="L420" s="3">
        <v>500.0</v>
      </c>
      <c r="M420" s="6">
        <v>1.0</v>
      </c>
      <c r="N420" s="7">
        <v>3590.0</v>
      </c>
      <c r="O420" s="7">
        <f t="shared" si="40"/>
        <v>3590</v>
      </c>
    </row>
    <row r="421">
      <c r="A421" s="6">
        <v>2025.0</v>
      </c>
      <c r="B421" s="6" t="s">
        <v>152</v>
      </c>
      <c r="C421" s="1">
        <f t="shared" si="1"/>
        <v>6</v>
      </c>
      <c r="D421" s="2" t="s">
        <v>65</v>
      </c>
      <c r="E421" s="6">
        <f t="shared" si="2"/>
        <v>2</v>
      </c>
      <c r="F421" s="6" t="s">
        <v>30</v>
      </c>
      <c r="G421" s="6" t="s">
        <v>18</v>
      </c>
      <c r="H421" s="6" t="s">
        <v>76</v>
      </c>
      <c r="I421" s="6" t="s">
        <v>77</v>
      </c>
      <c r="J421" s="6" t="s">
        <v>78</v>
      </c>
      <c r="K421" s="3" t="b">
        <f t="shared" si="3"/>
        <v>0</v>
      </c>
      <c r="L421" s="3">
        <v>650.0</v>
      </c>
      <c r="M421" s="6">
        <v>1.0</v>
      </c>
      <c r="N421" s="7">
        <v>8850.0</v>
      </c>
      <c r="O421" s="7">
        <f t="shared" si="40"/>
        <v>8850</v>
      </c>
    </row>
    <row r="422">
      <c r="A422" s="6">
        <v>2025.0</v>
      </c>
      <c r="B422" s="6" t="s">
        <v>152</v>
      </c>
      <c r="C422" s="1">
        <f t="shared" si="1"/>
        <v>6</v>
      </c>
      <c r="D422" s="2" t="s">
        <v>65</v>
      </c>
      <c r="E422" s="6">
        <f t="shared" si="2"/>
        <v>2</v>
      </c>
      <c r="F422" s="6" t="s">
        <v>30</v>
      </c>
      <c r="G422" s="6" t="s">
        <v>18</v>
      </c>
      <c r="H422" s="6" t="s">
        <v>31</v>
      </c>
      <c r="I422" s="6" t="s">
        <v>32</v>
      </c>
      <c r="J422" s="6" t="s">
        <v>30</v>
      </c>
      <c r="K422" s="3" t="b">
        <f t="shared" si="3"/>
        <v>0</v>
      </c>
      <c r="L422" s="3">
        <v>900.0</v>
      </c>
      <c r="M422" s="6">
        <v>1.0</v>
      </c>
      <c r="N422" s="7">
        <v>7200.0</v>
      </c>
      <c r="O422" s="7">
        <f t="shared" si="40"/>
        <v>7200</v>
      </c>
    </row>
    <row r="423">
      <c r="A423" s="6">
        <v>2025.0</v>
      </c>
      <c r="B423" s="6" t="s">
        <v>152</v>
      </c>
      <c r="C423" s="1">
        <f t="shared" si="1"/>
        <v>6</v>
      </c>
      <c r="D423" s="2" t="s">
        <v>65</v>
      </c>
      <c r="E423" s="6">
        <f t="shared" si="2"/>
        <v>2</v>
      </c>
      <c r="F423" s="6" t="s">
        <v>30</v>
      </c>
      <c r="G423" s="6" t="s">
        <v>18</v>
      </c>
      <c r="H423" s="6" t="s">
        <v>19</v>
      </c>
      <c r="I423" s="6" t="s">
        <v>157</v>
      </c>
      <c r="J423" s="6" t="s">
        <v>158</v>
      </c>
      <c r="K423" s="3" t="b">
        <f t="shared" si="3"/>
        <v>0</v>
      </c>
      <c r="L423" s="3">
        <v>125.0</v>
      </c>
      <c r="M423" s="6">
        <v>1.0</v>
      </c>
      <c r="N423" s="7">
        <v>7600.0</v>
      </c>
      <c r="O423" s="7">
        <f t="shared" si="40"/>
        <v>7600</v>
      </c>
    </row>
    <row r="424">
      <c r="A424" s="6">
        <v>2025.0</v>
      </c>
      <c r="B424" s="6" t="s">
        <v>152</v>
      </c>
      <c r="C424" s="1">
        <f t="shared" si="1"/>
        <v>6</v>
      </c>
      <c r="D424" s="2" t="s">
        <v>65</v>
      </c>
      <c r="E424" s="6">
        <f t="shared" si="2"/>
        <v>2</v>
      </c>
      <c r="F424" s="6" t="s">
        <v>30</v>
      </c>
      <c r="G424" s="6" t="s">
        <v>18</v>
      </c>
      <c r="H424" s="6" t="s">
        <v>19</v>
      </c>
      <c r="I424" s="6" t="s">
        <v>129</v>
      </c>
      <c r="J424" s="6" t="s">
        <v>159</v>
      </c>
      <c r="K424" s="3" t="b">
        <f t="shared" si="3"/>
        <v>0</v>
      </c>
      <c r="L424" s="3">
        <v>1300.0</v>
      </c>
      <c r="M424" s="6">
        <v>1.0</v>
      </c>
      <c r="N424" s="7">
        <v>36550.0</v>
      </c>
      <c r="O424" s="7">
        <f t="shared" si="40"/>
        <v>36550</v>
      </c>
    </row>
    <row r="425">
      <c r="A425" s="6">
        <v>2025.0</v>
      </c>
      <c r="B425" s="6" t="s">
        <v>152</v>
      </c>
      <c r="C425" s="1">
        <f t="shared" si="1"/>
        <v>6</v>
      </c>
      <c r="D425" s="2" t="s">
        <v>65</v>
      </c>
      <c r="E425" s="6">
        <f t="shared" si="2"/>
        <v>2</v>
      </c>
      <c r="F425" s="6" t="s">
        <v>30</v>
      </c>
      <c r="G425" s="6" t="s">
        <v>18</v>
      </c>
      <c r="H425" s="6" t="s">
        <v>52</v>
      </c>
      <c r="I425" s="6" t="s">
        <v>130</v>
      </c>
      <c r="J425" s="6" t="s">
        <v>39</v>
      </c>
      <c r="K425" s="3" t="b">
        <f t="shared" si="3"/>
        <v>0</v>
      </c>
      <c r="L425" s="3">
        <v>500.0</v>
      </c>
      <c r="M425" s="6">
        <v>1.0</v>
      </c>
      <c r="N425" s="7">
        <v>3190.0</v>
      </c>
      <c r="O425" s="7">
        <f t="shared" si="40"/>
        <v>3190</v>
      </c>
    </row>
    <row r="426">
      <c r="A426" s="6">
        <v>2025.0</v>
      </c>
      <c r="B426" s="6" t="s">
        <v>160</v>
      </c>
      <c r="C426" s="1">
        <f t="shared" si="1"/>
        <v>7</v>
      </c>
      <c r="D426" s="2" t="s">
        <v>16</v>
      </c>
      <c r="E426" s="6">
        <f t="shared" si="2"/>
        <v>1</v>
      </c>
      <c r="F426" s="6" t="s">
        <v>17</v>
      </c>
      <c r="G426" s="6" t="s">
        <v>18</v>
      </c>
      <c r="H426" s="6" t="s">
        <v>37</v>
      </c>
      <c r="I426" s="6" t="s">
        <v>145</v>
      </c>
      <c r="K426" s="3" t="b">
        <f t="shared" si="3"/>
        <v>0</v>
      </c>
      <c r="L426" s="8"/>
      <c r="M426" s="6">
        <v>1.0</v>
      </c>
      <c r="N426" s="7">
        <v>11990.0</v>
      </c>
      <c r="O426" s="7">
        <f t="shared" si="40"/>
        <v>11990</v>
      </c>
    </row>
    <row r="427">
      <c r="A427" s="6">
        <v>2025.0</v>
      </c>
      <c r="B427" s="6" t="s">
        <v>160</v>
      </c>
      <c r="C427" s="1">
        <f t="shared" si="1"/>
        <v>7</v>
      </c>
      <c r="D427" s="2" t="s">
        <v>16</v>
      </c>
      <c r="E427" s="6">
        <f t="shared" si="2"/>
        <v>1</v>
      </c>
      <c r="F427" s="6" t="s">
        <v>17</v>
      </c>
      <c r="G427" s="6" t="s">
        <v>18</v>
      </c>
      <c r="H427" s="6" t="s">
        <v>92</v>
      </c>
      <c r="I427" s="6" t="s">
        <v>125</v>
      </c>
      <c r="K427" s="3" t="b">
        <f t="shared" si="3"/>
        <v>0</v>
      </c>
      <c r="L427" s="8"/>
      <c r="M427" s="6">
        <v>1.0</v>
      </c>
      <c r="N427" s="10">
        <v>5990.0</v>
      </c>
      <c r="O427" s="7">
        <f t="shared" si="40"/>
        <v>5990</v>
      </c>
    </row>
    <row r="428">
      <c r="A428" s="6">
        <v>2025.0</v>
      </c>
      <c r="B428" s="6" t="s">
        <v>160</v>
      </c>
      <c r="C428" s="1">
        <f t="shared" si="1"/>
        <v>7</v>
      </c>
      <c r="D428" s="2" t="s">
        <v>16</v>
      </c>
      <c r="E428" s="6">
        <f t="shared" si="2"/>
        <v>1</v>
      </c>
      <c r="F428" s="6" t="s">
        <v>17</v>
      </c>
      <c r="G428" s="6" t="s">
        <v>18</v>
      </c>
      <c r="H428" s="6" t="s">
        <v>37</v>
      </c>
      <c r="I428" s="6" t="s">
        <v>87</v>
      </c>
      <c r="K428" s="3" t="b">
        <f t="shared" si="3"/>
        <v>0</v>
      </c>
      <c r="L428" s="8"/>
      <c r="M428" s="6">
        <v>2.0</v>
      </c>
      <c r="N428" s="10">
        <v>4990.0</v>
      </c>
      <c r="O428" s="7">
        <f t="shared" si="40"/>
        <v>9980</v>
      </c>
    </row>
    <row r="429">
      <c r="A429" s="6">
        <v>2025.0</v>
      </c>
      <c r="B429" s="6" t="s">
        <v>160</v>
      </c>
      <c r="C429" s="1">
        <f t="shared" si="1"/>
        <v>7</v>
      </c>
      <c r="D429" s="2" t="s">
        <v>16</v>
      </c>
      <c r="E429" s="6">
        <f t="shared" si="2"/>
        <v>1</v>
      </c>
      <c r="F429" s="6" t="s">
        <v>17</v>
      </c>
      <c r="G429" s="6" t="s">
        <v>83</v>
      </c>
      <c r="H429" s="6" t="s">
        <v>80</v>
      </c>
      <c r="I429" s="6" t="s">
        <v>84</v>
      </c>
      <c r="K429" s="3" t="b">
        <f t="shared" si="3"/>
        <v>0</v>
      </c>
      <c r="L429" s="8"/>
      <c r="M429" s="6">
        <v>1.0</v>
      </c>
      <c r="N429" s="10">
        <v>2200.0</v>
      </c>
      <c r="O429" s="7">
        <f t="shared" si="40"/>
        <v>2200</v>
      </c>
    </row>
    <row r="430">
      <c r="A430" s="6">
        <v>2025.0</v>
      </c>
      <c r="B430" s="6" t="s">
        <v>160</v>
      </c>
      <c r="C430" s="1">
        <f t="shared" si="1"/>
        <v>7</v>
      </c>
      <c r="D430" s="2" t="s">
        <v>16</v>
      </c>
      <c r="E430" s="6">
        <f t="shared" si="2"/>
        <v>1</v>
      </c>
      <c r="F430" s="6" t="s">
        <v>17</v>
      </c>
      <c r="G430" s="6" t="s">
        <v>18</v>
      </c>
      <c r="H430" s="6" t="s">
        <v>85</v>
      </c>
      <c r="I430" s="6" t="s">
        <v>88</v>
      </c>
      <c r="K430" s="3" t="b">
        <f t="shared" si="3"/>
        <v>0</v>
      </c>
      <c r="L430" s="8"/>
      <c r="M430" s="6">
        <v>1.0</v>
      </c>
      <c r="N430" s="10">
        <v>1200.0</v>
      </c>
      <c r="O430" s="7">
        <f t="shared" si="40"/>
        <v>1200</v>
      </c>
    </row>
    <row r="431">
      <c r="A431" s="6">
        <v>2025.0</v>
      </c>
      <c r="B431" s="6" t="s">
        <v>160</v>
      </c>
      <c r="C431" s="1">
        <f t="shared" si="1"/>
        <v>7</v>
      </c>
      <c r="D431" s="2" t="s">
        <v>16</v>
      </c>
      <c r="E431" s="6">
        <f t="shared" si="2"/>
        <v>1</v>
      </c>
      <c r="F431" s="6" t="s">
        <v>17</v>
      </c>
      <c r="G431" s="6" t="s">
        <v>79</v>
      </c>
      <c r="H431" s="6" t="s">
        <v>96</v>
      </c>
      <c r="I431" s="6" t="s">
        <v>97</v>
      </c>
      <c r="K431" s="3" t="b">
        <f t="shared" si="3"/>
        <v>0</v>
      </c>
      <c r="L431" s="8"/>
      <c r="M431" s="6">
        <v>1.0</v>
      </c>
      <c r="N431" s="10">
        <v>5350.0</v>
      </c>
      <c r="O431" s="7">
        <f t="shared" si="40"/>
        <v>5350</v>
      </c>
    </row>
    <row r="432">
      <c r="A432" s="6">
        <v>2025.0</v>
      </c>
      <c r="B432" s="6" t="s">
        <v>160</v>
      </c>
      <c r="C432" s="1">
        <f t="shared" si="1"/>
        <v>7</v>
      </c>
      <c r="D432" s="2" t="s">
        <v>16</v>
      </c>
      <c r="E432" s="6">
        <f t="shared" si="2"/>
        <v>1</v>
      </c>
      <c r="F432" s="6" t="s">
        <v>17</v>
      </c>
      <c r="G432" s="6" t="s">
        <v>83</v>
      </c>
      <c r="H432" s="6" t="s">
        <v>89</v>
      </c>
      <c r="I432" s="6" t="s">
        <v>115</v>
      </c>
      <c r="K432" s="3" t="b">
        <f t="shared" si="3"/>
        <v>0</v>
      </c>
      <c r="L432" s="8"/>
      <c r="M432" s="6">
        <v>1.0</v>
      </c>
      <c r="N432" s="10">
        <v>4950.0</v>
      </c>
      <c r="O432" s="7">
        <f t="shared" si="40"/>
        <v>4950</v>
      </c>
    </row>
    <row r="433">
      <c r="A433" s="6">
        <v>2025.0</v>
      </c>
      <c r="B433" s="6" t="s">
        <v>160</v>
      </c>
      <c r="C433" s="1">
        <f t="shared" si="1"/>
        <v>7</v>
      </c>
      <c r="D433" s="2" t="s">
        <v>16</v>
      </c>
      <c r="E433" s="6">
        <f t="shared" si="2"/>
        <v>1</v>
      </c>
      <c r="F433" s="6" t="s">
        <v>17</v>
      </c>
      <c r="G433" s="6" t="s">
        <v>83</v>
      </c>
      <c r="H433" s="6" t="s">
        <v>89</v>
      </c>
      <c r="I433" s="6" t="s">
        <v>127</v>
      </c>
      <c r="K433" s="3" t="b">
        <f t="shared" si="3"/>
        <v>0</v>
      </c>
      <c r="L433" s="8"/>
      <c r="M433" s="6">
        <v>1.0</v>
      </c>
      <c r="N433" s="7">
        <v>2900.0</v>
      </c>
      <c r="O433" s="7">
        <f t="shared" si="40"/>
        <v>2900</v>
      </c>
    </row>
    <row r="434">
      <c r="A434" s="6">
        <v>2025.0</v>
      </c>
      <c r="B434" s="6" t="s">
        <v>160</v>
      </c>
      <c r="C434" s="1">
        <f t="shared" si="1"/>
        <v>7</v>
      </c>
      <c r="D434" s="2" t="s">
        <v>16</v>
      </c>
      <c r="E434" s="6">
        <f t="shared" si="2"/>
        <v>1</v>
      </c>
      <c r="F434" s="6" t="s">
        <v>17</v>
      </c>
      <c r="G434" s="6" t="s">
        <v>18</v>
      </c>
      <c r="H434" s="6" t="s">
        <v>94</v>
      </c>
      <c r="I434" s="6" t="s">
        <v>119</v>
      </c>
      <c r="K434" s="3" t="b">
        <f t="shared" si="3"/>
        <v>0</v>
      </c>
      <c r="L434" s="8"/>
      <c r="M434" s="6">
        <v>1.0</v>
      </c>
      <c r="N434" s="10">
        <v>5450.0</v>
      </c>
      <c r="O434" s="7">
        <f t="shared" si="40"/>
        <v>5450</v>
      </c>
    </row>
    <row r="435">
      <c r="A435" s="6">
        <v>2025.0</v>
      </c>
      <c r="B435" s="6" t="s">
        <v>160</v>
      </c>
      <c r="C435" s="1">
        <f t="shared" si="1"/>
        <v>7</v>
      </c>
      <c r="D435" s="2" t="s">
        <v>16</v>
      </c>
      <c r="E435" s="6">
        <f t="shared" si="2"/>
        <v>1</v>
      </c>
      <c r="F435" s="6" t="s">
        <v>17</v>
      </c>
      <c r="G435" s="6" t="s">
        <v>18</v>
      </c>
      <c r="H435" s="6" t="s">
        <v>94</v>
      </c>
      <c r="I435" s="6" t="s">
        <v>95</v>
      </c>
      <c r="K435" s="3" t="b">
        <f t="shared" si="3"/>
        <v>0</v>
      </c>
      <c r="L435" s="8"/>
      <c r="M435" s="6">
        <v>1.0</v>
      </c>
      <c r="N435" s="7">
        <v>4950.0</v>
      </c>
      <c r="O435" s="7">
        <f t="shared" si="40"/>
        <v>4950</v>
      </c>
    </row>
    <row r="436">
      <c r="A436" s="6">
        <v>2025.0</v>
      </c>
      <c r="B436" s="6" t="s">
        <v>160</v>
      </c>
      <c r="C436" s="1">
        <f t="shared" si="1"/>
        <v>7</v>
      </c>
      <c r="D436" s="2" t="s">
        <v>16</v>
      </c>
      <c r="E436" s="6">
        <f t="shared" si="2"/>
        <v>1</v>
      </c>
      <c r="F436" s="6" t="s">
        <v>17</v>
      </c>
      <c r="G436" s="6" t="s">
        <v>18</v>
      </c>
      <c r="H436" s="6" t="s">
        <v>37</v>
      </c>
      <c r="I436" s="6" t="s">
        <v>98</v>
      </c>
      <c r="K436" s="3" t="b">
        <f t="shared" si="3"/>
        <v>0</v>
      </c>
      <c r="L436" s="8"/>
      <c r="M436" s="6">
        <v>1.0</v>
      </c>
      <c r="N436" s="9">
        <v>8700.0</v>
      </c>
      <c r="O436" s="7">
        <f t="shared" si="40"/>
        <v>8700</v>
      </c>
    </row>
    <row r="437">
      <c r="A437" s="6">
        <v>2025.0</v>
      </c>
      <c r="B437" s="6" t="s">
        <v>160</v>
      </c>
      <c r="C437" s="1">
        <f t="shared" si="1"/>
        <v>7</v>
      </c>
      <c r="D437" s="2" t="s">
        <v>16</v>
      </c>
      <c r="E437" s="6">
        <f t="shared" si="2"/>
        <v>1</v>
      </c>
      <c r="F437" s="6" t="s">
        <v>17</v>
      </c>
      <c r="G437" s="6" t="s">
        <v>18</v>
      </c>
      <c r="H437" s="6" t="s">
        <v>85</v>
      </c>
      <c r="I437" s="6" t="s">
        <v>146</v>
      </c>
      <c r="K437" s="3" t="b">
        <f t="shared" si="3"/>
        <v>0</v>
      </c>
      <c r="L437" s="8"/>
      <c r="M437" s="6">
        <v>1.0</v>
      </c>
      <c r="N437" s="10">
        <v>1200.0</v>
      </c>
      <c r="O437" s="7">
        <f t="shared" si="40"/>
        <v>1200</v>
      </c>
    </row>
    <row r="438">
      <c r="A438" s="6">
        <v>2025.0</v>
      </c>
      <c r="B438" s="6" t="s">
        <v>160</v>
      </c>
      <c r="C438" s="1">
        <f t="shared" si="1"/>
        <v>7</v>
      </c>
      <c r="D438" s="2" t="s">
        <v>16</v>
      </c>
      <c r="E438" s="6">
        <f t="shared" si="2"/>
        <v>1</v>
      </c>
      <c r="F438" s="6" t="s">
        <v>17</v>
      </c>
      <c r="G438" s="6" t="s">
        <v>18</v>
      </c>
      <c r="H438" s="6" t="s">
        <v>27</v>
      </c>
      <c r="I438" s="6" t="s">
        <v>100</v>
      </c>
      <c r="K438" s="3" t="b">
        <f t="shared" si="3"/>
        <v>0</v>
      </c>
      <c r="L438" s="8"/>
      <c r="M438" s="6">
        <v>1.0</v>
      </c>
      <c r="N438" s="9">
        <v>3790.0</v>
      </c>
      <c r="O438" s="7">
        <f t="shared" si="40"/>
        <v>3790</v>
      </c>
    </row>
    <row r="439">
      <c r="A439" s="6">
        <v>2025.0</v>
      </c>
      <c r="B439" s="6" t="s">
        <v>160</v>
      </c>
      <c r="C439" s="1">
        <f t="shared" si="1"/>
        <v>7</v>
      </c>
      <c r="D439" s="2" t="s">
        <v>16</v>
      </c>
      <c r="E439" s="6">
        <f t="shared" si="2"/>
        <v>1</v>
      </c>
      <c r="F439" s="6" t="s">
        <v>17</v>
      </c>
      <c r="G439" s="6" t="s">
        <v>79</v>
      </c>
      <c r="H439" s="6" t="s">
        <v>96</v>
      </c>
      <c r="I439" s="6" t="s">
        <v>114</v>
      </c>
      <c r="K439" s="3" t="b">
        <f t="shared" si="3"/>
        <v>0</v>
      </c>
      <c r="L439" s="8"/>
      <c r="M439" s="6">
        <v>1.0</v>
      </c>
      <c r="N439" s="7">
        <v>4250.0</v>
      </c>
      <c r="O439" s="7">
        <f t="shared" si="40"/>
        <v>4250</v>
      </c>
    </row>
    <row r="440">
      <c r="A440" s="6">
        <v>2025.0</v>
      </c>
      <c r="B440" s="6" t="s">
        <v>160</v>
      </c>
      <c r="C440" s="1">
        <f t="shared" si="1"/>
        <v>7</v>
      </c>
      <c r="D440" s="2" t="s">
        <v>16</v>
      </c>
      <c r="E440" s="6">
        <f t="shared" si="2"/>
        <v>1</v>
      </c>
      <c r="F440" s="6" t="s">
        <v>17</v>
      </c>
      <c r="G440" s="6" t="s">
        <v>18</v>
      </c>
      <c r="H440" s="6" t="s">
        <v>94</v>
      </c>
      <c r="I440" s="6" t="s">
        <v>103</v>
      </c>
      <c r="K440" s="3" t="b">
        <f t="shared" si="3"/>
        <v>0</v>
      </c>
      <c r="L440" s="8"/>
      <c r="M440" s="6">
        <v>3.0</v>
      </c>
      <c r="N440" s="7">
        <v>1950.0</v>
      </c>
      <c r="O440" s="7">
        <f t="shared" si="40"/>
        <v>5850</v>
      </c>
    </row>
    <row r="441">
      <c r="A441" s="6">
        <v>2025.0</v>
      </c>
      <c r="B441" s="6" t="s">
        <v>160</v>
      </c>
      <c r="C441" s="1">
        <f t="shared" si="1"/>
        <v>7</v>
      </c>
      <c r="D441" s="2" t="s">
        <v>16</v>
      </c>
      <c r="E441" s="6">
        <f t="shared" si="2"/>
        <v>1</v>
      </c>
      <c r="F441" s="6" t="s">
        <v>17</v>
      </c>
      <c r="G441" s="6" t="s">
        <v>18</v>
      </c>
      <c r="H441" s="6" t="s">
        <v>19</v>
      </c>
      <c r="I441" s="6" t="s">
        <v>104</v>
      </c>
      <c r="K441" s="3" t="b">
        <f t="shared" si="3"/>
        <v>0</v>
      </c>
      <c r="L441" s="8"/>
      <c r="M441" s="6">
        <v>1.0</v>
      </c>
      <c r="N441" s="7">
        <v>7990.0</v>
      </c>
      <c r="O441" s="7">
        <f t="shared" si="40"/>
        <v>7990</v>
      </c>
    </row>
    <row r="442">
      <c r="A442" s="6">
        <v>2025.0</v>
      </c>
      <c r="B442" s="6" t="s">
        <v>160</v>
      </c>
      <c r="C442" s="1">
        <f t="shared" si="1"/>
        <v>7</v>
      </c>
      <c r="D442" s="2" t="s">
        <v>16</v>
      </c>
      <c r="E442" s="6">
        <f t="shared" si="2"/>
        <v>1</v>
      </c>
      <c r="F442" s="6" t="s">
        <v>30</v>
      </c>
      <c r="G442" s="6" t="s">
        <v>18</v>
      </c>
      <c r="H442" s="6" t="s">
        <v>37</v>
      </c>
      <c r="I442" s="6" t="s">
        <v>68</v>
      </c>
      <c r="K442" s="3" t="b">
        <f t="shared" si="3"/>
        <v>0</v>
      </c>
      <c r="L442" s="3">
        <v>1064.0</v>
      </c>
      <c r="N442" s="7">
        <v>19580.0</v>
      </c>
      <c r="O442" s="7">
        <f t="shared" ref="O442:O461" si="41">N442*L442/1000</f>
        <v>20833.12</v>
      </c>
    </row>
    <row r="443">
      <c r="A443" s="6">
        <v>2025.0</v>
      </c>
      <c r="B443" s="6" t="s">
        <v>160</v>
      </c>
      <c r="C443" s="1">
        <f t="shared" si="1"/>
        <v>7</v>
      </c>
      <c r="D443" s="2" t="s">
        <v>16</v>
      </c>
      <c r="E443" s="6">
        <f t="shared" si="2"/>
        <v>1</v>
      </c>
      <c r="F443" s="6" t="s">
        <v>30</v>
      </c>
      <c r="G443" s="6" t="s">
        <v>18</v>
      </c>
      <c r="H443" s="6" t="s">
        <v>37</v>
      </c>
      <c r="I443" s="6" t="s">
        <v>45</v>
      </c>
      <c r="K443" s="3" t="b">
        <f t="shared" si="3"/>
        <v>0</v>
      </c>
      <c r="L443" s="3">
        <v>850.0</v>
      </c>
      <c r="N443" s="7">
        <v>16700.0</v>
      </c>
      <c r="O443" s="7">
        <f t="shared" si="41"/>
        <v>14195</v>
      </c>
    </row>
    <row r="444">
      <c r="A444" s="6">
        <v>2025.0</v>
      </c>
      <c r="B444" s="6" t="s">
        <v>160</v>
      </c>
      <c r="C444" s="1">
        <f t="shared" si="1"/>
        <v>7</v>
      </c>
      <c r="D444" s="2" t="s">
        <v>16</v>
      </c>
      <c r="E444" s="6">
        <f t="shared" si="2"/>
        <v>1</v>
      </c>
      <c r="F444" s="6" t="s">
        <v>30</v>
      </c>
      <c r="G444" s="6" t="s">
        <v>18</v>
      </c>
      <c r="H444" s="6" t="s">
        <v>37</v>
      </c>
      <c r="I444" s="6" t="s">
        <v>123</v>
      </c>
      <c r="K444" s="3" t="b">
        <f t="shared" si="3"/>
        <v>0</v>
      </c>
      <c r="L444" s="3">
        <v>1276.0</v>
      </c>
      <c r="N444" s="7">
        <v>26980.0</v>
      </c>
      <c r="O444" s="7">
        <f t="shared" si="41"/>
        <v>34426.48</v>
      </c>
    </row>
    <row r="445">
      <c r="A445" s="6">
        <v>2025.0</v>
      </c>
      <c r="B445" s="6" t="s">
        <v>160</v>
      </c>
      <c r="C445" s="1">
        <f t="shared" si="1"/>
        <v>7</v>
      </c>
      <c r="D445" s="2" t="s">
        <v>16</v>
      </c>
      <c r="E445" s="6">
        <f t="shared" si="2"/>
        <v>1</v>
      </c>
      <c r="F445" s="6" t="s">
        <v>30</v>
      </c>
      <c r="G445" s="6" t="s">
        <v>18</v>
      </c>
      <c r="H445" s="6" t="s">
        <v>37</v>
      </c>
      <c r="I445" s="6" t="s">
        <v>47</v>
      </c>
      <c r="K445" s="3" t="b">
        <f t="shared" si="3"/>
        <v>0</v>
      </c>
      <c r="L445" s="3">
        <v>1076.0</v>
      </c>
      <c r="N445" s="7">
        <v>32580.0</v>
      </c>
      <c r="O445" s="7">
        <f t="shared" si="41"/>
        <v>35056.08</v>
      </c>
    </row>
    <row r="446">
      <c r="A446" s="6">
        <v>2025.0</v>
      </c>
      <c r="B446" s="6" t="s">
        <v>160</v>
      </c>
      <c r="C446" s="1">
        <f t="shared" si="1"/>
        <v>7</v>
      </c>
      <c r="D446" s="2" t="s">
        <v>16</v>
      </c>
      <c r="E446" s="6">
        <f t="shared" si="2"/>
        <v>1</v>
      </c>
      <c r="F446" s="6" t="s">
        <v>30</v>
      </c>
      <c r="G446" s="6" t="s">
        <v>18</v>
      </c>
      <c r="H446" s="6" t="s">
        <v>37</v>
      </c>
      <c r="I446" s="6" t="s">
        <v>44</v>
      </c>
      <c r="K446" s="3" t="b">
        <f t="shared" si="3"/>
        <v>0</v>
      </c>
      <c r="L446" s="3">
        <v>1044.0</v>
      </c>
      <c r="N446" s="7">
        <v>7980.0</v>
      </c>
      <c r="O446" s="7">
        <f t="shared" si="41"/>
        <v>8331.12</v>
      </c>
    </row>
    <row r="447">
      <c r="A447" s="6">
        <v>2025.0</v>
      </c>
      <c r="B447" s="6" t="s">
        <v>160</v>
      </c>
      <c r="C447" s="1">
        <f t="shared" si="1"/>
        <v>7</v>
      </c>
      <c r="D447" s="2" t="s">
        <v>16</v>
      </c>
      <c r="E447" s="6">
        <f t="shared" si="2"/>
        <v>1</v>
      </c>
      <c r="F447" s="6" t="s">
        <v>30</v>
      </c>
      <c r="G447" s="6" t="s">
        <v>18</v>
      </c>
      <c r="H447" s="6" t="s">
        <v>37</v>
      </c>
      <c r="I447" s="6" t="s">
        <v>60</v>
      </c>
      <c r="K447" s="3" t="b">
        <f t="shared" si="3"/>
        <v>0</v>
      </c>
      <c r="L447" s="3">
        <v>2950.0</v>
      </c>
      <c r="N447" s="7">
        <v>10980.0</v>
      </c>
      <c r="O447" s="7">
        <f t="shared" si="41"/>
        <v>32391</v>
      </c>
    </row>
    <row r="448">
      <c r="A448" s="6">
        <v>2025.0</v>
      </c>
      <c r="B448" s="6" t="s">
        <v>160</v>
      </c>
      <c r="C448" s="1">
        <f t="shared" si="1"/>
        <v>7</v>
      </c>
      <c r="D448" s="2" t="s">
        <v>16</v>
      </c>
      <c r="E448" s="6">
        <f t="shared" si="2"/>
        <v>1</v>
      </c>
      <c r="F448" s="6" t="s">
        <v>30</v>
      </c>
      <c r="G448" s="6" t="s">
        <v>18</v>
      </c>
      <c r="H448" s="6" t="s">
        <v>37</v>
      </c>
      <c r="I448" s="6" t="s">
        <v>69</v>
      </c>
      <c r="K448" s="3" t="b">
        <f t="shared" si="3"/>
        <v>0</v>
      </c>
      <c r="L448" s="3">
        <v>1505.0</v>
      </c>
      <c r="N448" s="7">
        <v>11980.0</v>
      </c>
      <c r="O448" s="7">
        <f t="shared" si="41"/>
        <v>18029.9</v>
      </c>
    </row>
    <row r="449">
      <c r="A449" s="6">
        <v>2025.0</v>
      </c>
      <c r="B449" s="6" t="s">
        <v>160</v>
      </c>
      <c r="C449" s="1">
        <f t="shared" si="1"/>
        <v>7</v>
      </c>
      <c r="D449" s="2" t="s">
        <v>16</v>
      </c>
      <c r="E449" s="6">
        <f t="shared" si="2"/>
        <v>1</v>
      </c>
      <c r="F449" s="6" t="s">
        <v>30</v>
      </c>
      <c r="G449" s="6" t="s">
        <v>18</v>
      </c>
      <c r="H449" s="6" t="s">
        <v>49</v>
      </c>
      <c r="I449" s="6" t="s">
        <v>74</v>
      </c>
      <c r="K449" s="3" t="b">
        <f t="shared" si="3"/>
        <v>0</v>
      </c>
      <c r="L449" s="3">
        <v>2970.0</v>
      </c>
      <c r="N449" s="7">
        <v>1180.0</v>
      </c>
      <c r="O449" s="7">
        <f t="shared" si="41"/>
        <v>3504.6</v>
      </c>
    </row>
    <row r="450">
      <c r="A450" s="6">
        <v>2025.0</v>
      </c>
      <c r="B450" s="6" t="s">
        <v>160</v>
      </c>
      <c r="C450" s="1">
        <f t="shared" si="1"/>
        <v>7</v>
      </c>
      <c r="D450" s="2" t="s">
        <v>16</v>
      </c>
      <c r="E450" s="6">
        <f t="shared" si="2"/>
        <v>1</v>
      </c>
      <c r="F450" s="6" t="s">
        <v>30</v>
      </c>
      <c r="G450" s="6" t="s">
        <v>18</v>
      </c>
      <c r="H450" s="6" t="s">
        <v>49</v>
      </c>
      <c r="I450" s="6" t="s">
        <v>50</v>
      </c>
      <c r="K450" s="3" t="b">
        <f t="shared" si="3"/>
        <v>0</v>
      </c>
      <c r="L450" s="3">
        <v>3720.0</v>
      </c>
      <c r="N450" s="7">
        <v>3780.0</v>
      </c>
      <c r="O450" s="7">
        <f t="shared" si="41"/>
        <v>14061.6</v>
      </c>
    </row>
    <row r="451">
      <c r="A451" s="6">
        <v>2025.0</v>
      </c>
      <c r="B451" s="6" t="s">
        <v>160</v>
      </c>
      <c r="C451" s="1">
        <f t="shared" si="1"/>
        <v>7</v>
      </c>
      <c r="D451" s="2" t="s">
        <v>16</v>
      </c>
      <c r="E451" s="6">
        <f t="shared" si="2"/>
        <v>1</v>
      </c>
      <c r="F451" s="6" t="s">
        <v>30</v>
      </c>
      <c r="G451" s="6" t="s">
        <v>18</v>
      </c>
      <c r="H451" s="6" t="s">
        <v>49</v>
      </c>
      <c r="I451" s="6" t="s">
        <v>63</v>
      </c>
      <c r="K451" s="3" t="b">
        <f t="shared" si="3"/>
        <v>0</v>
      </c>
      <c r="L451" s="3">
        <v>2030.0</v>
      </c>
      <c r="N451" s="7">
        <v>3980.0</v>
      </c>
      <c r="O451" s="7">
        <f t="shared" si="41"/>
        <v>8079.4</v>
      </c>
    </row>
    <row r="452">
      <c r="A452" s="6">
        <v>2025.0</v>
      </c>
      <c r="B452" s="6" t="s">
        <v>160</v>
      </c>
      <c r="C452" s="1">
        <f t="shared" si="1"/>
        <v>7</v>
      </c>
      <c r="D452" s="2" t="s">
        <v>16</v>
      </c>
      <c r="E452" s="6">
        <f t="shared" si="2"/>
        <v>1</v>
      </c>
      <c r="F452" s="6" t="s">
        <v>30</v>
      </c>
      <c r="G452" s="6" t="s">
        <v>18</v>
      </c>
      <c r="H452" s="6" t="s">
        <v>49</v>
      </c>
      <c r="I452" s="6" t="s">
        <v>72</v>
      </c>
      <c r="K452" s="3" t="b">
        <f t="shared" si="3"/>
        <v>0</v>
      </c>
      <c r="L452" s="3">
        <v>950.0</v>
      </c>
      <c r="N452" s="7">
        <v>8380.0</v>
      </c>
      <c r="O452" s="7">
        <f t="shared" si="41"/>
        <v>7961</v>
      </c>
    </row>
    <row r="453">
      <c r="A453" s="6">
        <v>2025.0</v>
      </c>
      <c r="B453" s="6" t="s">
        <v>160</v>
      </c>
      <c r="C453" s="1">
        <f t="shared" si="1"/>
        <v>7</v>
      </c>
      <c r="D453" s="2" t="s">
        <v>16</v>
      </c>
      <c r="E453" s="6">
        <f t="shared" si="2"/>
        <v>1</v>
      </c>
      <c r="F453" s="6" t="s">
        <v>30</v>
      </c>
      <c r="G453" s="6" t="s">
        <v>18</v>
      </c>
      <c r="H453" s="6" t="s">
        <v>33</v>
      </c>
      <c r="I453" s="6" t="s">
        <v>56</v>
      </c>
      <c r="K453" s="3" t="b">
        <f t="shared" si="3"/>
        <v>0</v>
      </c>
      <c r="L453" s="3">
        <v>890.0</v>
      </c>
      <c r="N453" s="7">
        <v>3180.0</v>
      </c>
      <c r="O453" s="7">
        <f t="shared" si="41"/>
        <v>2830.2</v>
      </c>
    </row>
    <row r="454">
      <c r="A454" s="6">
        <v>2025.0</v>
      </c>
      <c r="B454" s="6" t="s">
        <v>160</v>
      </c>
      <c r="C454" s="1">
        <f t="shared" si="1"/>
        <v>7</v>
      </c>
      <c r="D454" s="2" t="s">
        <v>16</v>
      </c>
      <c r="E454" s="6">
        <f t="shared" si="2"/>
        <v>1</v>
      </c>
      <c r="F454" s="6" t="s">
        <v>30</v>
      </c>
      <c r="G454" s="6" t="s">
        <v>18</v>
      </c>
      <c r="H454" s="6" t="s">
        <v>33</v>
      </c>
      <c r="I454" s="6" t="s">
        <v>70</v>
      </c>
      <c r="K454" s="3" t="b">
        <f t="shared" si="3"/>
        <v>0</v>
      </c>
      <c r="L454" s="3">
        <v>2440.0</v>
      </c>
      <c r="N454" s="7">
        <v>3180.0</v>
      </c>
      <c r="O454" s="7">
        <f t="shared" si="41"/>
        <v>7759.2</v>
      </c>
    </row>
    <row r="455">
      <c r="A455" s="6">
        <v>2025.0</v>
      </c>
      <c r="B455" s="6" t="s">
        <v>160</v>
      </c>
      <c r="C455" s="1">
        <f t="shared" si="1"/>
        <v>7</v>
      </c>
      <c r="D455" s="2" t="s">
        <v>16</v>
      </c>
      <c r="E455" s="6">
        <f t="shared" si="2"/>
        <v>1</v>
      </c>
      <c r="F455" s="6" t="s">
        <v>30</v>
      </c>
      <c r="G455" s="6" t="s">
        <v>18</v>
      </c>
      <c r="H455" s="6" t="s">
        <v>49</v>
      </c>
      <c r="I455" s="6" t="s">
        <v>58</v>
      </c>
      <c r="K455" s="3" t="b">
        <f t="shared" si="3"/>
        <v>0</v>
      </c>
      <c r="L455" s="3">
        <v>1225.0</v>
      </c>
      <c r="N455" s="7">
        <v>4180.0</v>
      </c>
      <c r="O455" s="7">
        <f t="shared" si="41"/>
        <v>5120.5</v>
      </c>
    </row>
    <row r="456">
      <c r="A456" s="6">
        <v>2025.0</v>
      </c>
      <c r="B456" s="6" t="s">
        <v>160</v>
      </c>
      <c r="C456" s="1">
        <f t="shared" si="1"/>
        <v>7</v>
      </c>
      <c r="D456" s="2" t="s">
        <v>16</v>
      </c>
      <c r="E456" s="6">
        <f t="shared" si="2"/>
        <v>1</v>
      </c>
      <c r="F456" s="6" t="s">
        <v>30</v>
      </c>
      <c r="G456" s="6" t="s">
        <v>18</v>
      </c>
      <c r="H456" s="6" t="s">
        <v>49</v>
      </c>
      <c r="I456" s="6" t="s">
        <v>57</v>
      </c>
      <c r="K456" s="3" t="b">
        <f t="shared" si="3"/>
        <v>0</v>
      </c>
      <c r="L456" s="3">
        <v>2270.0</v>
      </c>
      <c r="N456" s="7">
        <v>1580.0</v>
      </c>
      <c r="O456" s="7">
        <f t="shared" si="41"/>
        <v>3586.6</v>
      </c>
    </row>
    <row r="457">
      <c r="A457" s="6">
        <v>2025.0</v>
      </c>
      <c r="B457" s="6" t="s">
        <v>160</v>
      </c>
      <c r="C457" s="1">
        <f t="shared" si="1"/>
        <v>7</v>
      </c>
      <c r="D457" s="2" t="s">
        <v>16</v>
      </c>
      <c r="E457" s="6">
        <f t="shared" si="2"/>
        <v>1</v>
      </c>
      <c r="F457" s="6" t="s">
        <v>30</v>
      </c>
      <c r="G457" s="6" t="s">
        <v>18</v>
      </c>
      <c r="H457" s="6" t="s">
        <v>49</v>
      </c>
      <c r="I457" s="6" t="s">
        <v>71</v>
      </c>
      <c r="K457" s="3" t="b">
        <f t="shared" si="3"/>
        <v>0</v>
      </c>
      <c r="L457" s="3">
        <v>755.0</v>
      </c>
      <c r="N457" s="7">
        <v>2980.0</v>
      </c>
      <c r="O457" s="7">
        <f t="shared" si="41"/>
        <v>2249.9</v>
      </c>
    </row>
    <row r="458">
      <c r="A458" s="6">
        <v>2025.0</v>
      </c>
      <c r="B458" s="6" t="s">
        <v>160</v>
      </c>
      <c r="C458" s="1">
        <f t="shared" si="1"/>
        <v>7</v>
      </c>
      <c r="D458" s="2" t="s">
        <v>16</v>
      </c>
      <c r="E458" s="6">
        <f t="shared" si="2"/>
        <v>1</v>
      </c>
      <c r="F458" s="6" t="s">
        <v>30</v>
      </c>
      <c r="G458" s="6" t="s">
        <v>18</v>
      </c>
      <c r="H458" s="6" t="s">
        <v>33</v>
      </c>
      <c r="I458" s="6" t="s">
        <v>59</v>
      </c>
      <c r="K458" s="3" t="b">
        <f t="shared" si="3"/>
        <v>0</v>
      </c>
      <c r="L458" s="3">
        <v>1040.0</v>
      </c>
      <c r="N458" s="7">
        <v>2780.0</v>
      </c>
      <c r="O458" s="7">
        <f t="shared" si="41"/>
        <v>2891.2</v>
      </c>
    </row>
    <row r="459">
      <c r="A459" s="6">
        <v>2025.0</v>
      </c>
      <c r="B459" s="6" t="s">
        <v>160</v>
      </c>
      <c r="C459" s="1">
        <f t="shared" si="1"/>
        <v>7</v>
      </c>
      <c r="D459" s="2" t="s">
        <v>16</v>
      </c>
      <c r="E459" s="6">
        <f t="shared" si="2"/>
        <v>1</v>
      </c>
      <c r="F459" s="6" t="s">
        <v>30</v>
      </c>
      <c r="G459" s="6" t="s">
        <v>18</v>
      </c>
      <c r="H459" s="6" t="s">
        <v>49</v>
      </c>
      <c r="I459" s="6" t="s">
        <v>153</v>
      </c>
      <c r="K459" s="3" t="b">
        <f t="shared" si="3"/>
        <v>0</v>
      </c>
      <c r="L459" s="3">
        <v>530.0</v>
      </c>
      <c r="N459" s="7">
        <v>5780.0</v>
      </c>
      <c r="O459" s="7">
        <f t="shared" si="41"/>
        <v>3063.4</v>
      </c>
    </row>
    <row r="460">
      <c r="A460" s="6">
        <v>2025.0</v>
      </c>
      <c r="B460" s="6" t="s">
        <v>160</v>
      </c>
      <c r="C460" s="1">
        <f t="shared" si="1"/>
        <v>7</v>
      </c>
      <c r="D460" s="2" t="s">
        <v>16</v>
      </c>
      <c r="E460" s="6">
        <f t="shared" si="2"/>
        <v>1</v>
      </c>
      <c r="F460" s="6" t="s">
        <v>30</v>
      </c>
      <c r="G460" s="6" t="s">
        <v>18</v>
      </c>
      <c r="H460" s="6" t="s">
        <v>49</v>
      </c>
      <c r="I460" s="6" t="s">
        <v>142</v>
      </c>
      <c r="K460" s="3" t="b">
        <f t="shared" si="3"/>
        <v>0</v>
      </c>
      <c r="L460" s="3">
        <v>240.0</v>
      </c>
      <c r="N460" s="7">
        <v>5980.0</v>
      </c>
      <c r="O460" s="7">
        <f t="shared" si="41"/>
        <v>1435.2</v>
      </c>
    </row>
    <row r="461">
      <c r="A461" s="6">
        <v>2025.0</v>
      </c>
      <c r="B461" s="6" t="s">
        <v>160</v>
      </c>
      <c r="C461" s="1">
        <f t="shared" si="1"/>
        <v>7</v>
      </c>
      <c r="D461" s="2" t="s">
        <v>16</v>
      </c>
      <c r="E461" s="6">
        <f t="shared" si="2"/>
        <v>1</v>
      </c>
      <c r="F461" s="6" t="s">
        <v>30</v>
      </c>
      <c r="G461" s="6" t="s">
        <v>18</v>
      </c>
      <c r="H461" s="6" t="s">
        <v>49</v>
      </c>
      <c r="I461" s="6" t="s">
        <v>62</v>
      </c>
      <c r="K461" s="3" t="b">
        <f t="shared" si="3"/>
        <v>0</v>
      </c>
      <c r="L461" s="3">
        <v>3340.0</v>
      </c>
      <c r="N461" s="7">
        <v>5780.0</v>
      </c>
      <c r="O461" s="7">
        <f t="shared" si="41"/>
        <v>19305.2</v>
      </c>
    </row>
    <row r="462">
      <c r="A462" s="6">
        <v>2025.0</v>
      </c>
      <c r="B462" s="6" t="s">
        <v>160</v>
      </c>
      <c r="C462" s="1">
        <f t="shared" si="1"/>
        <v>7</v>
      </c>
      <c r="D462" s="2" t="s">
        <v>16</v>
      </c>
      <c r="E462" s="6">
        <f t="shared" si="2"/>
        <v>1</v>
      </c>
      <c r="F462" s="6" t="s">
        <v>30</v>
      </c>
      <c r="G462" s="6" t="s">
        <v>18</v>
      </c>
      <c r="H462" s="6" t="s">
        <v>52</v>
      </c>
      <c r="I462" s="6" t="s">
        <v>53</v>
      </c>
      <c r="K462" s="3" t="b">
        <f t="shared" si="3"/>
        <v>0</v>
      </c>
      <c r="L462" s="3">
        <v>500.0</v>
      </c>
      <c r="M462" s="6">
        <v>1.0</v>
      </c>
      <c r="N462" s="7">
        <v>3550.0</v>
      </c>
      <c r="O462" s="7">
        <f t="shared" ref="O462:O482" si="42">N462*M462</f>
        <v>3550</v>
      </c>
    </row>
    <row r="463">
      <c r="A463" s="6">
        <v>2025.0</v>
      </c>
      <c r="B463" s="6" t="s">
        <v>160</v>
      </c>
      <c r="C463" s="1">
        <f t="shared" si="1"/>
        <v>7</v>
      </c>
      <c r="D463" s="2" t="s">
        <v>16</v>
      </c>
      <c r="E463" s="6">
        <f t="shared" si="2"/>
        <v>1</v>
      </c>
      <c r="F463" s="6" t="s">
        <v>30</v>
      </c>
      <c r="G463" s="6" t="s">
        <v>18</v>
      </c>
      <c r="H463" s="6" t="s">
        <v>27</v>
      </c>
      <c r="I463" s="6" t="s">
        <v>112</v>
      </c>
      <c r="K463" s="3" t="b">
        <f t="shared" si="3"/>
        <v>0</v>
      </c>
      <c r="L463" s="3">
        <v>55.0</v>
      </c>
      <c r="M463" s="6">
        <v>1.0</v>
      </c>
      <c r="N463" s="7">
        <v>1990.0</v>
      </c>
      <c r="O463" s="7">
        <f t="shared" si="42"/>
        <v>1990</v>
      </c>
    </row>
    <row r="464">
      <c r="A464" s="6">
        <v>2025.0</v>
      </c>
      <c r="B464" s="6" t="s">
        <v>160</v>
      </c>
      <c r="C464" s="1">
        <f t="shared" si="1"/>
        <v>7</v>
      </c>
      <c r="D464" s="2" t="s">
        <v>16</v>
      </c>
      <c r="E464" s="6">
        <f t="shared" si="2"/>
        <v>1</v>
      </c>
      <c r="F464" s="6" t="s">
        <v>30</v>
      </c>
      <c r="G464" s="6" t="s">
        <v>18</v>
      </c>
      <c r="H464" s="6" t="s">
        <v>52</v>
      </c>
      <c r="I464" s="6" t="s">
        <v>54</v>
      </c>
      <c r="K464" s="3" t="b">
        <f t="shared" si="3"/>
        <v>0</v>
      </c>
      <c r="L464" s="3">
        <v>500.0</v>
      </c>
      <c r="M464" s="6">
        <v>1.0</v>
      </c>
      <c r="N464" s="7">
        <v>4390.0</v>
      </c>
      <c r="O464" s="7">
        <f t="shared" si="42"/>
        <v>4390</v>
      </c>
    </row>
    <row r="465">
      <c r="A465" s="6">
        <v>2025.0</v>
      </c>
      <c r="B465" s="6" t="s">
        <v>160</v>
      </c>
      <c r="C465" s="1">
        <f t="shared" si="1"/>
        <v>7</v>
      </c>
      <c r="D465" s="2" t="s">
        <v>16</v>
      </c>
      <c r="E465" s="6">
        <f t="shared" si="2"/>
        <v>1</v>
      </c>
      <c r="F465" s="6" t="s">
        <v>30</v>
      </c>
      <c r="G465" s="6" t="s">
        <v>18</v>
      </c>
      <c r="H465" s="6" t="s">
        <v>52</v>
      </c>
      <c r="I465" s="6" t="s">
        <v>75</v>
      </c>
      <c r="K465" s="3" t="b">
        <f t="shared" si="3"/>
        <v>0</v>
      </c>
      <c r="L465" s="3">
        <v>500.0</v>
      </c>
      <c r="M465" s="6">
        <v>1.0</v>
      </c>
      <c r="N465" s="7">
        <v>1990.0</v>
      </c>
      <c r="O465" s="7">
        <f t="shared" si="42"/>
        <v>1990</v>
      </c>
    </row>
    <row r="466">
      <c r="A466" s="6">
        <v>2025.0</v>
      </c>
      <c r="B466" s="6" t="s">
        <v>160</v>
      </c>
      <c r="C466" s="1">
        <f t="shared" si="1"/>
        <v>7</v>
      </c>
      <c r="D466" s="2" t="s">
        <v>16</v>
      </c>
      <c r="E466" s="6">
        <f t="shared" si="2"/>
        <v>1</v>
      </c>
      <c r="F466" s="6" t="s">
        <v>30</v>
      </c>
      <c r="G466" s="6" t="s">
        <v>18</v>
      </c>
      <c r="H466" s="6" t="s">
        <v>24</v>
      </c>
      <c r="I466" s="6" t="s">
        <v>42</v>
      </c>
      <c r="K466" s="3" t="b">
        <f t="shared" si="3"/>
        <v>0</v>
      </c>
      <c r="L466" s="3">
        <v>400.0</v>
      </c>
      <c r="M466" s="6">
        <v>1.0</v>
      </c>
      <c r="N466" s="7">
        <v>18750.0</v>
      </c>
      <c r="O466" s="7">
        <f t="shared" si="42"/>
        <v>18750</v>
      </c>
    </row>
    <row r="467">
      <c r="A467" s="6">
        <v>2025.0</v>
      </c>
      <c r="B467" s="6" t="s">
        <v>160</v>
      </c>
      <c r="C467" s="1">
        <f t="shared" si="1"/>
        <v>7</v>
      </c>
      <c r="D467" s="2" t="s">
        <v>16</v>
      </c>
      <c r="E467" s="6">
        <f t="shared" si="2"/>
        <v>1</v>
      </c>
      <c r="F467" s="6" t="s">
        <v>30</v>
      </c>
      <c r="G467" s="6" t="s">
        <v>18</v>
      </c>
      <c r="H467" s="6" t="s">
        <v>31</v>
      </c>
      <c r="I467" s="6" t="s">
        <v>32</v>
      </c>
      <c r="K467" s="3" t="b">
        <f t="shared" si="3"/>
        <v>0</v>
      </c>
      <c r="L467" s="3">
        <v>900.0</v>
      </c>
      <c r="M467" s="6">
        <v>1.0</v>
      </c>
      <c r="N467" s="7">
        <v>7200.0</v>
      </c>
      <c r="O467" s="7">
        <f t="shared" si="42"/>
        <v>7200</v>
      </c>
    </row>
    <row r="468">
      <c r="A468" s="6">
        <v>2025.0</v>
      </c>
      <c r="B468" s="6" t="s">
        <v>160</v>
      </c>
      <c r="C468" s="1">
        <f t="shared" si="1"/>
        <v>7</v>
      </c>
      <c r="D468" s="2" t="s">
        <v>16</v>
      </c>
      <c r="E468" s="6">
        <f t="shared" si="2"/>
        <v>1</v>
      </c>
      <c r="F468" s="6" t="s">
        <v>30</v>
      </c>
      <c r="G468" s="6" t="s">
        <v>18</v>
      </c>
      <c r="H468" s="6" t="s">
        <v>76</v>
      </c>
      <c r="I468" s="6" t="s">
        <v>77</v>
      </c>
      <c r="K468" s="3" t="b">
        <f t="shared" si="3"/>
        <v>0</v>
      </c>
      <c r="L468" s="3">
        <v>650.0</v>
      </c>
      <c r="M468" s="6">
        <v>1.0</v>
      </c>
      <c r="N468" s="7">
        <v>8850.0</v>
      </c>
      <c r="O468" s="7">
        <f t="shared" si="42"/>
        <v>8850</v>
      </c>
    </row>
    <row r="469">
      <c r="A469" s="6">
        <v>2025.0</v>
      </c>
      <c r="B469" s="6" t="s">
        <v>160</v>
      </c>
      <c r="C469" s="1">
        <f t="shared" si="1"/>
        <v>7</v>
      </c>
      <c r="D469" s="2" t="s">
        <v>16</v>
      </c>
      <c r="E469" s="6">
        <f t="shared" si="2"/>
        <v>1</v>
      </c>
      <c r="F469" s="6" t="s">
        <v>30</v>
      </c>
      <c r="G469" s="6" t="s">
        <v>18</v>
      </c>
      <c r="H469" s="6" t="s">
        <v>19</v>
      </c>
      <c r="I469" s="6" t="s">
        <v>129</v>
      </c>
      <c r="K469" s="3" t="b">
        <f t="shared" si="3"/>
        <v>0</v>
      </c>
      <c r="L469" s="3">
        <v>1000.0</v>
      </c>
      <c r="M469" s="6">
        <v>1.0</v>
      </c>
      <c r="N469" s="7">
        <v>22850.0</v>
      </c>
      <c r="O469" s="7">
        <f t="shared" si="42"/>
        <v>22850</v>
      </c>
    </row>
    <row r="470">
      <c r="A470" s="6">
        <v>2025.0</v>
      </c>
      <c r="B470" s="6" t="s">
        <v>160</v>
      </c>
      <c r="C470" s="1">
        <f t="shared" si="1"/>
        <v>7</v>
      </c>
      <c r="D470" s="2" t="s">
        <v>16</v>
      </c>
      <c r="E470" s="6">
        <f t="shared" si="2"/>
        <v>1</v>
      </c>
      <c r="F470" s="6" t="s">
        <v>30</v>
      </c>
      <c r="G470" s="6" t="s">
        <v>79</v>
      </c>
      <c r="H470" s="6" t="s">
        <v>80</v>
      </c>
      <c r="I470" s="6" t="s">
        <v>81</v>
      </c>
      <c r="K470" s="3" t="b">
        <f t="shared" si="3"/>
        <v>0</v>
      </c>
      <c r="L470" s="8"/>
      <c r="M470" s="6">
        <v>1.0</v>
      </c>
      <c r="N470" s="7">
        <v>12950.0</v>
      </c>
      <c r="O470" s="7">
        <f t="shared" si="42"/>
        <v>12950</v>
      </c>
    </row>
    <row r="471">
      <c r="A471" s="6">
        <v>2025.0</v>
      </c>
      <c r="B471" s="6" t="s">
        <v>160</v>
      </c>
      <c r="C471" s="1">
        <f t="shared" si="1"/>
        <v>7</v>
      </c>
      <c r="D471" s="2" t="s">
        <v>65</v>
      </c>
      <c r="E471" s="6">
        <f t="shared" si="2"/>
        <v>2</v>
      </c>
      <c r="F471" s="6" t="s">
        <v>17</v>
      </c>
      <c r="G471" s="6" t="s">
        <v>18</v>
      </c>
      <c r="H471" s="6" t="s">
        <v>85</v>
      </c>
      <c r="I471" s="6" t="s">
        <v>146</v>
      </c>
      <c r="K471" s="3" t="b">
        <f t="shared" si="3"/>
        <v>0</v>
      </c>
      <c r="L471" s="8"/>
      <c r="M471" s="6">
        <v>2.0</v>
      </c>
      <c r="N471" s="9">
        <v>1200.0</v>
      </c>
      <c r="O471" s="7">
        <f t="shared" si="42"/>
        <v>2400</v>
      </c>
    </row>
    <row r="472">
      <c r="A472" s="6">
        <v>2025.0</v>
      </c>
      <c r="B472" s="6" t="s">
        <v>160</v>
      </c>
      <c r="C472" s="1">
        <f t="shared" si="1"/>
        <v>7</v>
      </c>
      <c r="D472" s="2" t="s">
        <v>65</v>
      </c>
      <c r="E472" s="6">
        <f t="shared" si="2"/>
        <v>2</v>
      </c>
      <c r="F472" s="6" t="s">
        <v>17</v>
      </c>
      <c r="G472" s="6" t="s">
        <v>18</v>
      </c>
      <c r="H472" s="6" t="s">
        <v>27</v>
      </c>
      <c r="I472" s="6" t="s">
        <v>100</v>
      </c>
      <c r="K472" s="3" t="b">
        <f t="shared" si="3"/>
        <v>0</v>
      </c>
      <c r="L472" s="8"/>
      <c r="M472" s="6">
        <v>1.0</v>
      </c>
      <c r="N472" s="9">
        <v>3790.0</v>
      </c>
      <c r="O472" s="7">
        <f t="shared" si="42"/>
        <v>3790</v>
      </c>
    </row>
    <row r="473">
      <c r="A473" s="6">
        <v>2025.0</v>
      </c>
      <c r="B473" s="6" t="s">
        <v>160</v>
      </c>
      <c r="C473" s="1">
        <f t="shared" si="1"/>
        <v>7</v>
      </c>
      <c r="D473" s="2" t="s">
        <v>65</v>
      </c>
      <c r="E473" s="6">
        <f t="shared" si="2"/>
        <v>2</v>
      </c>
      <c r="F473" s="6" t="s">
        <v>17</v>
      </c>
      <c r="G473" s="6" t="s">
        <v>18</v>
      </c>
      <c r="H473" s="6" t="s">
        <v>94</v>
      </c>
      <c r="I473" s="6" t="s">
        <v>103</v>
      </c>
      <c r="K473" s="3" t="b">
        <f t="shared" si="3"/>
        <v>0</v>
      </c>
      <c r="L473" s="8"/>
      <c r="M473" s="6">
        <v>3.0</v>
      </c>
      <c r="N473" s="9">
        <v>1950.0</v>
      </c>
      <c r="O473" s="7">
        <f t="shared" si="42"/>
        <v>5850</v>
      </c>
    </row>
    <row r="474">
      <c r="A474" s="6">
        <v>2025.0</v>
      </c>
      <c r="B474" s="6" t="s">
        <v>160</v>
      </c>
      <c r="C474" s="1">
        <f t="shared" si="1"/>
        <v>7</v>
      </c>
      <c r="D474" s="2" t="s">
        <v>65</v>
      </c>
      <c r="E474" s="6">
        <f t="shared" si="2"/>
        <v>2</v>
      </c>
      <c r="F474" s="6" t="s">
        <v>17</v>
      </c>
      <c r="G474" s="6" t="s">
        <v>18</v>
      </c>
      <c r="H474" s="6" t="s">
        <v>37</v>
      </c>
      <c r="I474" s="6" t="s">
        <v>145</v>
      </c>
      <c r="K474" s="3" t="b">
        <f t="shared" si="3"/>
        <v>0</v>
      </c>
      <c r="L474" s="8"/>
      <c r="M474" s="6">
        <v>1.0</v>
      </c>
      <c r="N474" s="9">
        <v>11990.0</v>
      </c>
      <c r="O474" s="7">
        <f t="shared" si="42"/>
        <v>11990</v>
      </c>
    </row>
    <row r="475">
      <c r="A475" s="6">
        <v>2025.0</v>
      </c>
      <c r="B475" s="6" t="s">
        <v>160</v>
      </c>
      <c r="C475" s="1">
        <f t="shared" si="1"/>
        <v>7</v>
      </c>
      <c r="D475" s="2" t="s">
        <v>65</v>
      </c>
      <c r="E475" s="6">
        <f t="shared" si="2"/>
        <v>2</v>
      </c>
      <c r="F475" s="6" t="s">
        <v>17</v>
      </c>
      <c r="G475" s="14" t="s">
        <v>79</v>
      </c>
      <c r="H475" s="6" t="s">
        <v>96</v>
      </c>
      <c r="I475" s="14" t="s">
        <v>161</v>
      </c>
      <c r="K475" s="3" t="b">
        <f t="shared" si="3"/>
        <v>0</v>
      </c>
      <c r="L475" s="8"/>
      <c r="M475" s="6">
        <v>2.0</v>
      </c>
      <c r="N475" s="9">
        <v>2650.0</v>
      </c>
      <c r="O475" s="7">
        <f t="shared" si="42"/>
        <v>5300</v>
      </c>
    </row>
    <row r="476">
      <c r="A476" s="6">
        <v>2025.0</v>
      </c>
      <c r="B476" s="6" t="s">
        <v>160</v>
      </c>
      <c r="C476" s="1">
        <f t="shared" si="1"/>
        <v>7</v>
      </c>
      <c r="D476" s="2" t="s">
        <v>65</v>
      </c>
      <c r="E476" s="6">
        <f t="shared" si="2"/>
        <v>2</v>
      </c>
      <c r="F476" s="6" t="s">
        <v>17</v>
      </c>
      <c r="G476" s="6" t="s">
        <v>18</v>
      </c>
      <c r="H476" s="6" t="s">
        <v>37</v>
      </c>
      <c r="I476" s="6" t="s">
        <v>98</v>
      </c>
      <c r="K476" s="3" t="b">
        <f t="shared" si="3"/>
        <v>0</v>
      </c>
      <c r="L476" s="8"/>
      <c r="M476" s="6">
        <v>1.0</v>
      </c>
      <c r="N476" s="9">
        <v>8700.0</v>
      </c>
      <c r="O476" s="7">
        <f t="shared" si="42"/>
        <v>8700</v>
      </c>
    </row>
    <row r="477">
      <c r="A477" s="6">
        <v>2025.0</v>
      </c>
      <c r="B477" s="6" t="s">
        <v>160</v>
      </c>
      <c r="C477" s="1">
        <f t="shared" si="1"/>
        <v>7</v>
      </c>
      <c r="D477" s="2" t="s">
        <v>65</v>
      </c>
      <c r="E477" s="6">
        <f t="shared" si="2"/>
        <v>2</v>
      </c>
      <c r="F477" s="6" t="s">
        <v>17</v>
      </c>
      <c r="G477" s="6" t="s">
        <v>18</v>
      </c>
      <c r="H477" s="6" t="s">
        <v>37</v>
      </c>
      <c r="I477" s="6" t="s">
        <v>87</v>
      </c>
      <c r="K477" s="3" t="b">
        <f t="shared" si="3"/>
        <v>0</v>
      </c>
      <c r="L477" s="8"/>
      <c r="M477" s="6">
        <v>2.0</v>
      </c>
      <c r="N477" s="9">
        <v>4990.0</v>
      </c>
      <c r="O477" s="7">
        <f t="shared" si="42"/>
        <v>9980</v>
      </c>
    </row>
    <row r="478">
      <c r="A478" s="6">
        <v>2025.0</v>
      </c>
      <c r="B478" s="6" t="s">
        <v>160</v>
      </c>
      <c r="C478" s="1">
        <f t="shared" si="1"/>
        <v>7</v>
      </c>
      <c r="D478" s="2" t="s">
        <v>65</v>
      </c>
      <c r="E478" s="6">
        <f t="shared" si="2"/>
        <v>2</v>
      </c>
      <c r="F478" s="6" t="s">
        <v>17</v>
      </c>
      <c r="G478" s="6" t="s">
        <v>18</v>
      </c>
      <c r="H478" s="6" t="s">
        <v>94</v>
      </c>
      <c r="I478" s="6" t="s">
        <v>95</v>
      </c>
      <c r="K478" s="3" t="b">
        <f t="shared" si="3"/>
        <v>0</v>
      </c>
      <c r="L478" s="8"/>
      <c r="M478" s="6">
        <v>1.0</v>
      </c>
      <c r="N478" s="9">
        <v>4950.0</v>
      </c>
      <c r="O478" s="7">
        <f t="shared" si="42"/>
        <v>4950</v>
      </c>
    </row>
    <row r="479">
      <c r="A479" s="6">
        <v>2025.0</v>
      </c>
      <c r="B479" s="6" t="s">
        <v>160</v>
      </c>
      <c r="C479" s="1">
        <f t="shared" si="1"/>
        <v>7</v>
      </c>
      <c r="D479" s="2" t="s">
        <v>65</v>
      </c>
      <c r="E479" s="6">
        <f t="shared" si="2"/>
        <v>2</v>
      </c>
      <c r="F479" s="6" t="s">
        <v>17</v>
      </c>
      <c r="G479" s="6" t="s">
        <v>83</v>
      </c>
      <c r="H479" s="6" t="s">
        <v>89</v>
      </c>
      <c r="I479" s="6" t="s">
        <v>99</v>
      </c>
      <c r="K479" s="3" t="b">
        <f t="shared" si="3"/>
        <v>0</v>
      </c>
      <c r="L479" s="3">
        <v>500.0</v>
      </c>
      <c r="M479" s="6">
        <v>1.0</v>
      </c>
      <c r="N479" s="9">
        <v>2600.0</v>
      </c>
      <c r="O479" s="7">
        <f t="shared" si="42"/>
        <v>2600</v>
      </c>
    </row>
    <row r="480">
      <c r="A480" s="6">
        <v>2025.0</v>
      </c>
      <c r="B480" s="6" t="s">
        <v>160</v>
      </c>
      <c r="C480" s="1">
        <f t="shared" si="1"/>
        <v>7</v>
      </c>
      <c r="D480" s="2" t="s">
        <v>65</v>
      </c>
      <c r="E480" s="6">
        <f t="shared" si="2"/>
        <v>2</v>
      </c>
      <c r="F480" s="6" t="s">
        <v>17</v>
      </c>
      <c r="G480" s="14" t="s">
        <v>18</v>
      </c>
      <c r="H480" s="6" t="s">
        <v>19</v>
      </c>
      <c r="I480" s="14" t="s">
        <v>162</v>
      </c>
      <c r="K480" s="3" t="b">
        <f t="shared" si="3"/>
        <v>0</v>
      </c>
      <c r="L480" s="8"/>
      <c r="M480" s="6">
        <v>1.0</v>
      </c>
      <c r="N480" s="9">
        <v>9900.0</v>
      </c>
      <c r="O480" s="7">
        <f t="shared" si="42"/>
        <v>9900</v>
      </c>
    </row>
    <row r="481">
      <c r="A481" s="6">
        <v>2025.0</v>
      </c>
      <c r="B481" s="6" t="s">
        <v>160</v>
      </c>
      <c r="C481" s="1">
        <f t="shared" si="1"/>
        <v>7</v>
      </c>
      <c r="D481" s="2" t="s">
        <v>65</v>
      </c>
      <c r="E481" s="6">
        <f t="shared" si="2"/>
        <v>2</v>
      </c>
      <c r="F481" s="6" t="s">
        <v>17</v>
      </c>
      <c r="G481" s="6" t="s">
        <v>18</v>
      </c>
      <c r="H481" s="6" t="s">
        <v>19</v>
      </c>
      <c r="I481" s="6" t="s">
        <v>104</v>
      </c>
      <c r="K481" s="3" t="b">
        <f t="shared" si="3"/>
        <v>0</v>
      </c>
      <c r="L481" s="8"/>
      <c r="M481" s="6">
        <v>1.0</v>
      </c>
      <c r="N481" s="9">
        <v>7990.0</v>
      </c>
      <c r="O481" s="7">
        <f t="shared" si="42"/>
        <v>7990</v>
      </c>
    </row>
    <row r="482">
      <c r="A482" s="6">
        <v>2025.0</v>
      </c>
      <c r="B482" s="6" t="s">
        <v>160</v>
      </c>
      <c r="C482" s="1">
        <f t="shared" si="1"/>
        <v>7</v>
      </c>
      <c r="D482" s="2" t="s">
        <v>65</v>
      </c>
      <c r="E482" s="6">
        <f t="shared" si="2"/>
        <v>2</v>
      </c>
      <c r="F482" s="6" t="s">
        <v>17</v>
      </c>
      <c r="G482" s="6" t="s">
        <v>83</v>
      </c>
      <c r="H482" s="6" t="s">
        <v>80</v>
      </c>
      <c r="I482" s="6" t="s">
        <v>84</v>
      </c>
      <c r="K482" s="3" t="b">
        <f t="shared" si="3"/>
        <v>0</v>
      </c>
      <c r="L482" s="8"/>
      <c r="M482" s="6">
        <v>1.0</v>
      </c>
      <c r="N482" s="9">
        <v>2200.0</v>
      </c>
      <c r="O482" s="7">
        <f t="shared" si="42"/>
        <v>2200</v>
      </c>
    </row>
    <row r="483">
      <c r="A483" s="6">
        <v>2025.0</v>
      </c>
      <c r="B483" s="6" t="s">
        <v>160</v>
      </c>
      <c r="C483" s="1">
        <f t="shared" si="1"/>
        <v>7</v>
      </c>
      <c r="D483" s="2" t="s">
        <v>65</v>
      </c>
      <c r="E483" s="6">
        <f t="shared" si="2"/>
        <v>2</v>
      </c>
      <c r="F483" s="6" t="s">
        <v>30</v>
      </c>
      <c r="G483" s="6" t="s">
        <v>18</v>
      </c>
      <c r="H483" s="6" t="s">
        <v>49</v>
      </c>
      <c r="I483" s="6" t="s">
        <v>153</v>
      </c>
      <c r="K483" s="3" t="b">
        <f t="shared" si="3"/>
        <v>0</v>
      </c>
      <c r="L483" s="3">
        <v>480.0</v>
      </c>
      <c r="N483" s="7">
        <v>4000.0</v>
      </c>
      <c r="O483" s="7">
        <f t="shared" ref="O483:O489" si="43">N483*L483/1000</f>
        <v>1920</v>
      </c>
    </row>
    <row r="484">
      <c r="A484" s="6">
        <v>2025.0</v>
      </c>
      <c r="B484" s="6" t="s">
        <v>160</v>
      </c>
      <c r="C484" s="1">
        <f t="shared" si="1"/>
        <v>7</v>
      </c>
      <c r="D484" s="2" t="s">
        <v>65</v>
      </c>
      <c r="E484" s="6">
        <f t="shared" si="2"/>
        <v>2</v>
      </c>
      <c r="F484" s="6" t="s">
        <v>30</v>
      </c>
      <c r="G484" s="6" t="s">
        <v>18</v>
      </c>
      <c r="H484" s="6" t="s">
        <v>49</v>
      </c>
      <c r="I484" s="6" t="s">
        <v>71</v>
      </c>
      <c r="K484" s="3" t="b">
        <f t="shared" si="3"/>
        <v>0</v>
      </c>
      <c r="L484" s="3">
        <v>860.0</v>
      </c>
      <c r="N484" s="7">
        <v>4980.0</v>
      </c>
      <c r="O484" s="7">
        <f t="shared" si="43"/>
        <v>4282.8</v>
      </c>
    </row>
    <row r="485">
      <c r="A485" s="6">
        <v>2025.0</v>
      </c>
      <c r="B485" s="6" t="s">
        <v>160</v>
      </c>
      <c r="C485" s="1">
        <f t="shared" si="1"/>
        <v>7</v>
      </c>
      <c r="D485" s="2" t="s">
        <v>65</v>
      </c>
      <c r="E485" s="6">
        <f t="shared" si="2"/>
        <v>2</v>
      </c>
      <c r="F485" s="6" t="s">
        <v>30</v>
      </c>
      <c r="G485" s="6" t="s">
        <v>18</v>
      </c>
      <c r="H485" s="6" t="s">
        <v>49</v>
      </c>
      <c r="I485" s="6" t="s">
        <v>62</v>
      </c>
      <c r="K485" s="3" t="b">
        <f t="shared" si="3"/>
        <v>0</v>
      </c>
      <c r="L485" s="3">
        <v>2860.0</v>
      </c>
      <c r="N485" s="7">
        <v>5580.0</v>
      </c>
      <c r="O485" s="7">
        <f t="shared" si="43"/>
        <v>15958.8</v>
      </c>
    </row>
    <row r="486">
      <c r="A486" s="6">
        <v>2025.0</v>
      </c>
      <c r="B486" s="6" t="s">
        <v>160</v>
      </c>
      <c r="C486" s="1">
        <f t="shared" si="1"/>
        <v>7</v>
      </c>
      <c r="D486" s="2" t="s">
        <v>65</v>
      </c>
      <c r="E486" s="6">
        <f t="shared" si="2"/>
        <v>2</v>
      </c>
      <c r="F486" s="6" t="s">
        <v>30</v>
      </c>
      <c r="G486" s="6" t="s">
        <v>18</v>
      </c>
      <c r="H486" s="6" t="s">
        <v>33</v>
      </c>
      <c r="I486" s="6" t="s">
        <v>56</v>
      </c>
      <c r="K486" s="3" t="b">
        <f t="shared" si="3"/>
        <v>0</v>
      </c>
      <c r="L486" s="3">
        <v>1030.0</v>
      </c>
      <c r="N486" s="7">
        <v>3300.0</v>
      </c>
      <c r="O486" s="7">
        <f t="shared" si="43"/>
        <v>3399</v>
      </c>
    </row>
    <row r="487">
      <c r="A487" s="6">
        <v>2025.0</v>
      </c>
      <c r="B487" s="6" t="s">
        <v>160</v>
      </c>
      <c r="C487" s="1">
        <f t="shared" si="1"/>
        <v>7</v>
      </c>
      <c r="D487" s="2" t="s">
        <v>65</v>
      </c>
      <c r="E487" s="6">
        <f t="shared" si="2"/>
        <v>2</v>
      </c>
      <c r="F487" s="6" t="s">
        <v>30</v>
      </c>
      <c r="G487" s="6" t="s">
        <v>18</v>
      </c>
      <c r="H487" s="6" t="s">
        <v>49</v>
      </c>
      <c r="I487" s="6" t="s">
        <v>72</v>
      </c>
      <c r="K487" s="3" t="b">
        <f t="shared" si="3"/>
        <v>0</v>
      </c>
      <c r="L487" s="3">
        <v>370.0</v>
      </c>
      <c r="N487" s="7">
        <v>7580.0</v>
      </c>
      <c r="O487" s="7">
        <f t="shared" si="43"/>
        <v>2804.6</v>
      </c>
    </row>
    <row r="488">
      <c r="A488" s="6">
        <v>2025.0</v>
      </c>
      <c r="B488" s="6" t="s">
        <v>160</v>
      </c>
      <c r="C488" s="1">
        <f t="shared" si="1"/>
        <v>7</v>
      </c>
      <c r="D488" s="2" t="s">
        <v>65</v>
      </c>
      <c r="E488" s="6">
        <f t="shared" si="2"/>
        <v>2</v>
      </c>
      <c r="F488" s="6" t="s">
        <v>30</v>
      </c>
      <c r="G488" s="6" t="s">
        <v>18</v>
      </c>
      <c r="H488" s="6" t="s">
        <v>33</v>
      </c>
      <c r="I488" s="6" t="s">
        <v>70</v>
      </c>
      <c r="K488" s="3" t="b">
        <f t="shared" si="3"/>
        <v>0</v>
      </c>
      <c r="L488" s="3">
        <v>2210.0</v>
      </c>
      <c r="N488" s="7">
        <v>2380.0</v>
      </c>
      <c r="O488" s="7">
        <f t="shared" si="43"/>
        <v>5259.8</v>
      </c>
    </row>
    <row r="489">
      <c r="A489" s="6">
        <v>2025.0</v>
      </c>
      <c r="B489" s="6" t="s">
        <v>160</v>
      </c>
      <c r="C489" s="1">
        <f t="shared" si="1"/>
        <v>7</v>
      </c>
      <c r="D489" s="2" t="s">
        <v>65</v>
      </c>
      <c r="E489" s="6">
        <f t="shared" si="2"/>
        <v>2</v>
      </c>
      <c r="F489" s="6" t="s">
        <v>30</v>
      </c>
      <c r="G489" s="6" t="s">
        <v>18</v>
      </c>
      <c r="H489" s="6" t="s">
        <v>49</v>
      </c>
      <c r="I489" s="6" t="s">
        <v>142</v>
      </c>
      <c r="K489" s="3" t="b">
        <f t="shared" si="3"/>
        <v>0</v>
      </c>
      <c r="L489" s="3">
        <v>240.0</v>
      </c>
      <c r="N489" s="7">
        <v>5780.0</v>
      </c>
      <c r="O489" s="7">
        <f t="shared" si="43"/>
        <v>1387.2</v>
      </c>
    </row>
    <row r="490">
      <c r="A490" s="6">
        <v>2025.0</v>
      </c>
      <c r="B490" s="6" t="s">
        <v>160</v>
      </c>
      <c r="C490" s="1">
        <f t="shared" si="1"/>
        <v>7</v>
      </c>
      <c r="D490" s="2" t="s">
        <v>65</v>
      </c>
      <c r="E490" s="6">
        <f t="shared" si="2"/>
        <v>2</v>
      </c>
      <c r="F490" s="6" t="s">
        <v>30</v>
      </c>
      <c r="G490" s="6" t="s">
        <v>18</v>
      </c>
      <c r="H490" s="6" t="s">
        <v>27</v>
      </c>
      <c r="I490" s="6" t="s">
        <v>40</v>
      </c>
      <c r="K490" s="3" t="b">
        <f t="shared" si="3"/>
        <v>0</v>
      </c>
      <c r="L490" s="3">
        <v>2500.0</v>
      </c>
      <c r="M490" s="6">
        <v>1.0</v>
      </c>
      <c r="N490" s="7">
        <v>8990.0</v>
      </c>
      <c r="O490" s="7">
        <f t="shared" ref="O490:O499" si="44">N490*M490</f>
        <v>8990</v>
      </c>
    </row>
    <row r="491">
      <c r="A491" s="6">
        <v>2025.0</v>
      </c>
      <c r="B491" s="6" t="s">
        <v>160</v>
      </c>
      <c r="C491" s="1">
        <f t="shared" si="1"/>
        <v>7</v>
      </c>
      <c r="D491" s="2" t="s">
        <v>65</v>
      </c>
      <c r="E491" s="6">
        <f t="shared" si="2"/>
        <v>2</v>
      </c>
      <c r="F491" s="6" t="s">
        <v>30</v>
      </c>
      <c r="G491" s="6" t="s">
        <v>83</v>
      </c>
      <c r="H491" s="6" t="s">
        <v>80</v>
      </c>
      <c r="I491" s="6" t="s">
        <v>143</v>
      </c>
      <c r="K491" s="3" t="b">
        <f t="shared" si="3"/>
        <v>0</v>
      </c>
      <c r="L491" s="8"/>
      <c r="M491" s="6">
        <v>1.0</v>
      </c>
      <c r="N491" s="7">
        <v>2190.0</v>
      </c>
      <c r="O491" s="7">
        <f t="shared" si="44"/>
        <v>2190</v>
      </c>
    </row>
    <row r="492">
      <c r="A492" s="6">
        <v>2025.0</v>
      </c>
      <c r="B492" s="6" t="s">
        <v>160</v>
      </c>
      <c r="C492" s="1">
        <f t="shared" si="1"/>
        <v>7</v>
      </c>
      <c r="D492" s="2" t="s">
        <v>65</v>
      </c>
      <c r="E492" s="6">
        <f t="shared" si="2"/>
        <v>2</v>
      </c>
      <c r="F492" s="6" t="s">
        <v>30</v>
      </c>
      <c r="G492" s="6" t="s">
        <v>18</v>
      </c>
      <c r="H492" s="6" t="s">
        <v>24</v>
      </c>
      <c r="I492" s="6" t="s">
        <v>42</v>
      </c>
      <c r="K492" s="3" t="b">
        <f t="shared" si="3"/>
        <v>0</v>
      </c>
      <c r="L492" s="3">
        <v>400.0</v>
      </c>
      <c r="M492" s="6">
        <v>1.0</v>
      </c>
      <c r="N492" s="7">
        <v>18500.0</v>
      </c>
      <c r="O492" s="7">
        <f t="shared" si="44"/>
        <v>18500</v>
      </c>
    </row>
    <row r="493">
      <c r="A493" s="6">
        <v>2025.0</v>
      </c>
      <c r="B493" s="6" t="s">
        <v>160</v>
      </c>
      <c r="C493" s="1">
        <f t="shared" si="1"/>
        <v>7</v>
      </c>
      <c r="D493" s="2" t="s">
        <v>65</v>
      </c>
      <c r="E493" s="6">
        <f t="shared" si="2"/>
        <v>2</v>
      </c>
      <c r="F493" s="6" t="s">
        <v>30</v>
      </c>
      <c r="G493" s="6" t="s">
        <v>18</v>
      </c>
      <c r="H493" s="6" t="s">
        <v>52</v>
      </c>
      <c r="I493" s="6" t="s">
        <v>54</v>
      </c>
      <c r="K493" s="3" t="b">
        <f t="shared" si="3"/>
        <v>0</v>
      </c>
      <c r="L493" s="3">
        <v>500.0</v>
      </c>
      <c r="M493" s="6">
        <v>1.0</v>
      </c>
      <c r="N493" s="7">
        <v>4390.0</v>
      </c>
      <c r="O493" s="7">
        <f t="shared" si="44"/>
        <v>4390</v>
      </c>
    </row>
    <row r="494">
      <c r="A494" s="6">
        <v>2025.0</v>
      </c>
      <c r="B494" s="6" t="s">
        <v>160</v>
      </c>
      <c r="C494" s="1">
        <f t="shared" si="1"/>
        <v>7</v>
      </c>
      <c r="D494" s="2" t="s">
        <v>65</v>
      </c>
      <c r="E494" s="6">
        <f t="shared" si="2"/>
        <v>2</v>
      </c>
      <c r="F494" s="6" t="s">
        <v>30</v>
      </c>
      <c r="G494" s="6" t="s">
        <v>18</v>
      </c>
      <c r="H494" s="6" t="s">
        <v>52</v>
      </c>
      <c r="I494" s="6" t="s">
        <v>130</v>
      </c>
      <c r="K494" s="3" t="b">
        <f t="shared" si="3"/>
        <v>0</v>
      </c>
      <c r="L494" s="3">
        <v>500.0</v>
      </c>
      <c r="M494" s="6">
        <v>1.0</v>
      </c>
      <c r="N494" s="7">
        <v>2890.0</v>
      </c>
      <c r="O494" s="7">
        <f t="shared" si="44"/>
        <v>2890</v>
      </c>
    </row>
    <row r="495">
      <c r="A495" s="6">
        <v>2025.0</v>
      </c>
      <c r="B495" s="6" t="s">
        <v>160</v>
      </c>
      <c r="C495" s="1">
        <f t="shared" si="1"/>
        <v>7</v>
      </c>
      <c r="D495" s="2" t="s">
        <v>65</v>
      </c>
      <c r="E495" s="6">
        <f t="shared" si="2"/>
        <v>2</v>
      </c>
      <c r="F495" s="6" t="s">
        <v>30</v>
      </c>
      <c r="G495" s="6" t="s">
        <v>18</v>
      </c>
      <c r="H495" s="6" t="s">
        <v>52</v>
      </c>
      <c r="I495" s="6" t="s">
        <v>55</v>
      </c>
      <c r="K495" s="3" t="b">
        <f t="shared" si="3"/>
        <v>0</v>
      </c>
      <c r="L495" s="3">
        <v>500.0</v>
      </c>
      <c r="M495" s="6">
        <v>1.0</v>
      </c>
      <c r="N495" s="7">
        <v>3380.0</v>
      </c>
      <c r="O495" s="7">
        <f t="shared" si="44"/>
        <v>3380</v>
      </c>
    </row>
    <row r="496">
      <c r="A496" s="6">
        <v>2025.0</v>
      </c>
      <c r="B496" s="6" t="s">
        <v>160</v>
      </c>
      <c r="C496" s="1">
        <f t="shared" si="1"/>
        <v>7</v>
      </c>
      <c r="D496" s="2" t="s">
        <v>65</v>
      </c>
      <c r="E496" s="6">
        <f t="shared" si="2"/>
        <v>2</v>
      </c>
      <c r="F496" s="6" t="s">
        <v>30</v>
      </c>
      <c r="G496" s="6" t="s">
        <v>18</v>
      </c>
      <c r="H496" s="6" t="s">
        <v>19</v>
      </c>
      <c r="I496" s="6" t="s">
        <v>144</v>
      </c>
      <c r="K496" s="3" t="b">
        <f t="shared" si="3"/>
        <v>0</v>
      </c>
      <c r="L496" s="3">
        <v>1000.0</v>
      </c>
      <c r="M496" s="6">
        <v>1.0</v>
      </c>
      <c r="N496" s="7">
        <v>27500.0</v>
      </c>
      <c r="O496" s="7">
        <f t="shared" si="44"/>
        <v>27500</v>
      </c>
    </row>
    <row r="497">
      <c r="A497" s="6">
        <v>2025.0</v>
      </c>
      <c r="B497" s="6" t="s">
        <v>160</v>
      </c>
      <c r="C497" s="1">
        <f t="shared" si="1"/>
        <v>7</v>
      </c>
      <c r="D497" s="2" t="s">
        <v>65</v>
      </c>
      <c r="E497" s="6">
        <f t="shared" si="2"/>
        <v>2</v>
      </c>
      <c r="F497" s="6" t="s">
        <v>30</v>
      </c>
      <c r="G497" s="6" t="s">
        <v>18</v>
      </c>
      <c r="H497" s="6" t="s">
        <v>31</v>
      </c>
      <c r="I497" s="6" t="s">
        <v>32</v>
      </c>
      <c r="K497" s="3" t="b">
        <f t="shared" si="3"/>
        <v>0</v>
      </c>
      <c r="L497" s="3">
        <v>900.0</v>
      </c>
      <c r="M497" s="6">
        <v>1.0</v>
      </c>
      <c r="N497" s="7">
        <v>7200.0</v>
      </c>
      <c r="O497" s="7">
        <f t="shared" si="44"/>
        <v>7200</v>
      </c>
    </row>
    <row r="498">
      <c r="A498" s="6">
        <v>2025.0</v>
      </c>
      <c r="B498" s="6" t="s">
        <v>160</v>
      </c>
      <c r="C498" s="1">
        <f t="shared" si="1"/>
        <v>7</v>
      </c>
      <c r="D498" s="2" t="s">
        <v>65</v>
      </c>
      <c r="E498" s="6">
        <f t="shared" si="2"/>
        <v>2</v>
      </c>
      <c r="F498" s="6" t="s">
        <v>30</v>
      </c>
      <c r="G498" s="6" t="s">
        <v>18</v>
      </c>
      <c r="H498" s="6" t="s">
        <v>27</v>
      </c>
      <c r="I498" s="6" t="s">
        <v>110</v>
      </c>
      <c r="K498" s="3" t="b">
        <f t="shared" si="3"/>
        <v>0</v>
      </c>
      <c r="L498" s="3">
        <v>1000.0</v>
      </c>
      <c r="M498" s="6">
        <v>1.0</v>
      </c>
      <c r="N498" s="7">
        <v>2650.0</v>
      </c>
      <c r="O498" s="7">
        <f t="shared" si="44"/>
        <v>2650</v>
      </c>
    </row>
    <row r="499">
      <c r="A499" s="6">
        <v>2025.0</v>
      </c>
      <c r="B499" s="6" t="s">
        <v>160</v>
      </c>
      <c r="C499" s="1">
        <f t="shared" si="1"/>
        <v>7</v>
      </c>
      <c r="D499" s="2" t="s">
        <v>65</v>
      </c>
      <c r="E499" s="6">
        <f t="shared" si="2"/>
        <v>2</v>
      </c>
      <c r="F499" s="6" t="s">
        <v>30</v>
      </c>
      <c r="G499" s="6" t="s">
        <v>18</v>
      </c>
      <c r="H499" s="6" t="s">
        <v>92</v>
      </c>
      <c r="I499" s="6" t="s">
        <v>122</v>
      </c>
      <c r="K499" s="3" t="b">
        <f t="shared" si="3"/>
        <v>0</v>
      </c>
      <c r="L499" s="3">
        <v>500.0</v>
      </c>
      <c r="M499" s="6">
        <v>1.0</v>
      </c>
      <c r="N499" s="7">
        <v>1500.0</v>
      </c>
      <c r="O499" s="7">
        <f t="shared" si="44"/>
        <v>1500</v>
      </c>
    </row>
    <row r="500">
      <c r="A500" s="6">
        <v>2025.0</v>
      </c>
      <c r="B500" s="6" t="s">
        <v>160</v>
      </c>
      <c r="C500" s="1">
        <f t="shared" si="1"/>
        <v>7</v>
      </c>
      <c r="D500" s="2" t="s">
        <v>65</v>
      </c>
      <c r="E500" s="6">
        <f t="shared" si="2"/>
        <v>2</v>
      </c>
      <c r="F500" s="6" t="s">
        <v>30</v>
      </c>
      <c r="G500" s="6" t="s">
        <v>18</v>
      </c>
      <c r="H500" s="6" t="s">
        <v>37</v>
      </c>
      <c r="I500" s="6" t="s">
        <v>45</v>
      </c>
      <c r="K500" s="3" t="b">
        <f t="shared" si="3"/>
        <v>0</v>
      </c>
      <c r="L500" s="3">
        <v>772.0</v>
      </c>
      <c r="N500" s="7">
        <v>16780.0</v>
      </c>
      <c r="O500" s="7">
        <f t="shared" ref="O500:O512" si="45">N500*L500/1000</f>
        <v>12954.16</v>
      </c>
    </row>
    <row r="501">
      <c r="A501" s="6">
        <v>2025.0</v>
      </c>
      <c r="B501" s="6" t="s">
        <v>160</v>
      </c>
      <c r="C501" s="1">
        <f t="shared" si="1"/>
        <v>7</v>
      </c>
      <c r="D501" s="2" t="s">
        <v>65</v>
      </c>
      <c r="E501" s="6">
        <f t="shared" si="2"/>
        <v>2</v>
      </c>
      <c r="F501" s="6" t="s">
        <v>30</v>
      </c>
      <c r="G501" s="6" t="s">
        <v>18</v>
      </c>
      <c r="H501" s="6" t="s">
        <v>37</v>
      </c>
      <c r="I501" s="6" t="s">
        <v>47</v>
      </c>
      <c r="K501" s="3" t="b">
        <f t="shared" si="3"/>
        <v>0</v>
      </c>
      <c r="L501" s="3">
        <v>838.0</v>
      </c>
      <c r="N501" s="7">
        <v>32580.0</v>
      </c>
      <c r="O501" s="7">
        <f t="shared" si="45"/>
        <v>27302.04</v>
      </c>
    </row>
    <row r="502">
      <c r="A502" s="6">
        <v>2025.0</v>
      </c>
      <c r="B502" s="6" t="s">
        <v>160</v>
      </c>
      <c r="C502" s="1">
        <f t="shared" si="1"/>
        <v>7</v>
      </c>
      <c r="D502" s="2" t="s">
        <v>65</v>
      </c>
      <c r="E502" s="6">
        <f t="shared" si="2"/>
        <v>2</v>
      </c>
      <c r="F502" s="6" t="s">
        <v>30</v>
      </c>
      <c r="G502" s="6" t="s">
        <v>18</v>
      </c>
      <c r="H502" s="6" t="s">
        <v>37</v>
      </c>
      <c r="I502" s="6" t="s">
        <v>123</v>
      </c>
      <c r="K502" s="3" t="b">
        <f t="shared" si="3"/>
        <v>0</v>
      </c>
      <c r="L502" s="3">
        <v>1274.0</v>
      </c>
      <c r="N502" s="7">
        <v>26980.0</v>
      </c>
      <c r="O502" s="7">
        <f t="shared" si="45"/>
        <v>34372.52</v>
      </c>
    </row>
    <row r="503">
      <c r="A503" s="6">
        <v>2025.0</v>
      </c>
      <c r="B503" s="6" t="s">
        <v>160</v>
      </c>
      <c r="C503" s="1">
        <f t="shared" si="1"/>
        <v>7</v>
      </c>
      <c r="D503" s="2" t="s">
        <v>65</v>
      </c>
      <c r="E503" s="6">
        <f t="shared" si="2"/>
        <v>2</v>
      </c>
      <c r="F503" s="6" t="s">
        <v>30</v>
      </c>
      <c r="G503" s="6" t="s">
        <v>18</v>
      </c>
      <c r="H503" s="6" t="s">
        <v>37</v>
      </c>
      <c r="I503" s="6" t="s">
        <v>48</v>
      </c>
      <c r="K503" s="3" t="b">
        <f t="shared" si="3"/>
        <v>0</v>
      </c>
      <c r="L503" s="3">
        <v>806.0</v>
      </c>
      <c r="N503" s="7">
        <v>18980.0</v>
      </c>
      <c r="O503" s="7">
        <f t="shared" si="45"/>
        <v>15297.88</v>
      </c>
    </row>
    <row r="504">
      <c r="A504" s="6">
        <v>2025.0</v>
      </c>
      <c r="B504" s="6" t="s">
        <v>160</v>
      </c>
      <c r="C504" s="1">
        <f t="shared" si="1"/>
        <v>7</v>
      </c>
      <c r="D504" s="2" t="s">
        <v>65</v>
      </c>
      <c r="E504" s="6">
        <f t="shared" si="2"/>
        <v>2</v>
      </c>
      <c r="F504" s="6" t="s">
        <v>30</v>
      </c>
      <c r="G504" s="6" t="s">
        <v>18</v>
      </c>
      <c r="H504" s="6" t="s">
        <v>37</v>
      </c>
      <c r="I504" s="6" t="s">
        <v>68</v>
      </c>
      <c r="K504" s="3" t="b">
        <f t="shared" si="3"/>
        <v>0</v>
      </c>
      <c r="L504" s="3">
        <v>878.0</v>
      </c>
      <c r="N504" s="7">
        <v>26380.0</v>
      </c>
      <c r="O504" s="7">
        <f t="shared" si="45"/>
        <v>23161.64</v>
      </c>
    </row>
    <row r="505">
      <c r="A505" s="6">
        <v>2025.0</v>
      </c>
      <c r="B505" s="6" t="s">
        <v>160</v>
      </c>
      <c r="C505" s="1">
        <f t="shared" si="1"/>
        <v>7</v>
      </c>
      <c r="D505" s="2" t="s">
        <v>65</v>
      </c>
      <c r="E505" s="6">
        <f t="shared" si="2"/>
        <v>2</v>
      </c>
      <c r="F505" s="6" t="s">
        <v>30</v>
      </c>
      <c r="G505" s="6" t="s">
        <v>18</v>
      </c>
      <c r="H505" s="6" t="s">
        <v>37</v>
      </c>
      <c r="I505" s="6" t="s">
        <v>67</v>
      </c>
      <c r="K505" s="3" t="b">
        <f t="shared" si="3"/>
        <v>0</v>
      </c>
      <c r="L505" s="3">
        <v>946.0</v>
      </c>
      <c r="N505" s="7">
        <v>16980.0</v>
      </c>
      <c r="O505" s="7">
        <f t="shared" si="45"/>
        <v>16063.08</v>
      </c>
    </row>
    <row r="506">
      <c r="A506" s="6">
        <v>2025.0</v>
      </c>
      <c r="B506" s="6" t="s">
        <v>160</v>
      </c>
      <c r="C506" s="1">
        <f t="shared" si="1"/>
        <v>7</v>
      </c>
      <c r="D506" s="2" t="s">
        <v>65</v>
      </c>
      <c r="E506" s="6">
        <f t="shared" si="2"/>
        <v>2</v>
      </c>
      <c r="F506" s="6" t="s">
        <v>30</v>
      </c>
      <c r="G506" s="6" t="s">
        <v>18</v>
      </c>
      <c r="H506" s="6" t="s">
        <v>37</v>
      </c>
      <c r="I506" s="6" t="s">
        <v>60</v>
      </c>
      <c r="K506" s="3" t="b">
        <f t="shared" si="3"/>
        <v>0</v>
      </c>
      <c r="L506" s="3">
        <v>3310.0</v>
      </c>
      <c r="N506" s="7">
        <v>7900.0</v>
      </c>
      <c r="O506" s="7">
        <f t="shared" si="45"/>
        <v>26149</v>
      </c>
    </row>
    <row r="507">
      <c r="A507" s="6">
        <v>2025.0</v>
      </c>
      <c r="B507" s="6" t="s">
        <v>160</v>
      </c>
      <c r="C507" s="1">
        <f t="shared" si="1"/>
        <v>7</v>
      </c>
      <c r="D507" s="2" t="s">
        <v>65</v>
      </c>
      <c r="E507" s="6">
        <f t="shared" si="2"/>
        <v>2</v>
      </c>
      <c r="F507" s="6" t="s">
        <v>30</v>
      </c>
      <c r="G507" s="6" t="s">
        <v>18</v>
      </c>
      <c r="H507" s="6" t="s">
        <v>33</v>
      </c>
      <c r="I507" s="6" t="s">
        <v>59</v>
      </c>
      <c r="K507" s="3" t="b">
        <f t="shared" si="3"/>
        <v>0</v>
      </c>
      <c r="L507" s="3">
        <v>1090.0</v>
      </c>
      <c r="N507" s="7">
        <v>2780.0</v>
      </c>
      <c r="O507" s="7">
        <f t="shared" si="45"/>
        <v>3030.2</v>
      </c>
    </row>
    <row r="508">
      <c r="A508" s="6">
        <v>2025.0</v>
      </c>
      <c r="B508" s="6" t="s">
        <v>160</v>
      </c>
      <c r="C508" s="1">
        <f t="shared" si="1"/>
        <v>7</v>
      </c>
      <c r="D508" s="2" t="s">
        <v>65</v>
      </c>
      <c r="E508" s="6">
        <f t="shared" si="2"/>
        <v>2</v>
      </c>
      <c r="F508" s="6" t="s">
        <v>30</v>
      </c>
      <c r="G508" s="6" t="s">
        <v>18</v>
      </c>
      <c r="H508" s="6" t="s">
        <v>49</v>
      </c>
      <c r="I508" s="6" t="s">
        <v>57</v>
      </c>
      <c r="K508" s="3" t="b">
        <f t="shared" si="3"/>
        <v>0</v>
      </c>
      <c r="L508" s="3">
        <v>1720.0</v>
      </c>
      <c r="N508" s="7">
        <v>1980.0</v>
      </c>
      <c r="O508" s="7">
        <f t="shared" si="45"/>
        <v>3405.6</v>
      </c>
    </row>
    <row r="509">
      <c r="A509" s="6">
        <v>2025.0</v>
      </c>
      <c r="B509" s="6" t="s">
        <v>160</v>
      </c>
      <c r="C509" s="1">
        <f t="shared" si="1"/>
        <v>7</v>
      </c>
      <c r="D509" s="2" t="s">
        <v>65</v>
      </c>
      <c r="E509" s="6">
        <f t="shared" si="2"/>
        <v>2</v>
      </c>
      <c r="F509" s="6" t="s">
        <v>30</v>
      </c>
      <c r="G509" s="6" t="s">
        <v>18</v>
      </c>
      <c r="H509" s="6" t="s">
        <v>49</v>
      </c>
      <c r="I509" s="6" t="s">
        <v>58</v>
      </c>
      <c r="K509" s="3" t="b">
        <f t="shared" si="3"/>
        <v>0</v>
      </c>
      <c r="L509" s="3">
        <v>1140.0</v>
      </c>
      <c r="N509" s="7">
        <v>4580.0</v>
      </c>
      <c r="O509" s="7">
        <f t="shared" si="45"/>
        <v>5221.2</v>
      </c>
    </row>
    <row r="510">
      <c r="A510" s="6">
        <v>2025.0</v>
      </c>
      <c r="B510" s="6" t="s">
        <v>160</v>
      </c>
      <c r="C510" s="1">
        <f t="shared" si="1"/>
        <v>7</v>
      </c>
      <c r="D510" s="2" t="s">
        <v>65</v>
      </c>
      <c r="E510" s="6">
        <f t="shared" si="2"/>
        <v>2</v>
      </c>
      <c r="F510" s="6" t="s">
        <v>30</v>
      </c>
      <c r="G510" s="6" t="s">
        <v>18</v>
      </c>
      <c r="H510" s="6" t="s">
        <v>49</v>
      </c>
      <c r="I510" s="6" t="s">
        <v>63</v>
      </c>
      <c r="K510" s="3" t="b">
        <f t="shared" si="3"/>
        <v>0</v>
      </c>
      <c r="L510" s="3">
        <v>1880.0</v>
      </c>
      <c r="N510" s="7">
        <v>3980.0</v>
      </c>
      <c r="O510" s="7">
        <f t="shared" si="45"/>
        <v>7482.4</v>
      </c>
    </row>
    <row r="511">
      <c r="A511" s="6">
        <v>2025.0</v>
      </c>
      <c r="B511" s="6" t="s">
        <v>160</v>
      </c>
      <c r="C511" s="1">
        <f t="shared" si="1"/>
        <v>7</v>
      </c>
      <c r="D511" s="2" t="s">
        <v>65</v>
      </c>
      <c r="E511" s="6">
        <f t="shared" si="2"/>
        <v>2</v>
      </c>
      <c r="F511" s="6" t="s">
        <v>30</v>
      </c>
      <c r="G511" s="6" t="s">
        <v>18</v>
      </c>
      <c r="H511" s="6" t="s">
        <v>49</v>
      </c>
      <c r="I511" s="6" t="s">
        <v>74</v>
      </c>
      <c r="K511" s="3" t="b">
        <f t="shared" si="3"/>
        <v>0</v>
      </c>
      <c r="L511" s="3">
        <v>2480.0</v>
      </c>
      <c r="N511" s="7">
        <v>1380.0</v>
      </c>
      <c r="O511" s="7">
        <f t="shared" si="45"/>
        <v>3422.4</v>
      </c>
    </row>
    <row r="512">
      <c r="A512" s="6">
        <v>2025.0</v>
      </c>
      <c r="B512" s="6" t="s">
        <v>160</v>
      </c>
      <c r="C512" s="1">
        <f t="shared" si="1"/>
        <v>7</v>
      </c>
      <c r="D512" s="2" t="s">
        <v>65</v>
      </c>
      <c r="E512" s="6">
        <f t="shared" si="2"/>
        <v>2</v>
      </c>
      <c r="F512" s="6" t="s">
        <v>30</v>
      </c>
      <c r="G512" s="6" t="s">
        <v>18</v>
      </c>
      <c r="H512" s="6" t="s">
        <v>49</v>
      </c>
      <c r="I512" s="6" t="s">
        <v>50</v>
      </c>
      <c r="K512" s="3" t="b">
        <f t="shared" si="3"/>
        <v>0</v>
      </c>
      <c r="L512" s="3">
        <v>3590.0</v>
      </c>
      <c r="N512" s="7">
        <v>3780.0</v>
      </c>
      <c r="O512" s="7">
        <f t="shared" si="45"/>
        <v>13570.2</v>
      </c>
    </row>
    <row r="513">
      <c r="A513" s="6">
        <v>2025.0</v>
      </c>
      <c r="B513" s="6" t="s">
        <v>163</v>
      </c>
      <c r="C513" s="1">
        <f t="shared" si="1"/>
        <v>8</v>
      </c>
      <c r="D513" s="2" t="s">
        <v>16</v>
      </c>
      <c r="E513" s="6">
        <f t="shared" si="2"/>
        <v>1</v>
      </c>
      <c r="F513" s="6" t="s">
        <v>17</v>
      </c>
      <c r="G513" s="6" t="s">
        <v>18</v>
      </c>
      <c r="H513" s="6" t="s">
        <v>37</v>
      </c>
      <c r="I513" s="6" t="s">
        <v>145</v>
      </c>
      <c r="K513" s="3" t="b">
        <f t="shared" si="3"/>
        <v>0</v>
      </c>
      <c r="L513" s="8"/>
      <c r="M513" s="6">
        <v>1.0</v>
      </c>
      <c r="N513" s="7">
        <v>11990.0</v>
      </c>
      <c r="O513" s="7">
        <f t="shared" ref="O513:O530" si="46">N513*M513</f>
        <v>11990</v>
      </c>
    </row>
    <row r="514">
      <c r="A514" s="6">
        <v>2025.0</v>
      </c>
      <c r="B514" s="6" t="s">
        <v>163</v>
      </c>
      <c r="C514" s="1">
        <f t="shared" si="1"/>
        <v>8</v>
      </c>
      <c r="D514" s="2" t="s">
        <v>16</v>
      </c>
      <c r="E514" s="6">
        <f t="shared" si="2"/>
        <v>1</v>
      </c>
      <c r="F514" s="6" t="s">
        <v>17</v>
      </c>
      <c r="G514" s="6" t="s">
        <v>18</v>
      </c>
      <c r="H514" s="6" t="s">
        <v>92</v>
      </c>
      <c r="I514" s="6" t="s">
        <v>125</v>
      </c>
      <c r="K514" s="3" t="b">
        <f t="shared" si="3"/>
        <v>0</v>
      </c>
      <c r="L514" s="8"/>
      <c r="M514" s="6">
        <v>1.0</v>
      </c>
      <c r="N514" s="10">
        <v>5990.0</v>
      </c>
      <c r="O514" s="7">
        <f t="shared" si="46"/>
        <v>5990</v>
      </c>
    </row>
    <row r="515">
      <c r="A515" s="6">
        <v>2025.0</v>
      </c>
      <c r="B515" s="6" t="s">
        <v>163</v>
      </c>
      <c r="C515" s="1">
        <f t="shared" si="1"/>
        <v>8</v>
      </c>
      <c r="D515" s="2" t="s">
        <v>16</v>
      </c>
      <c r="E515" s="6">
        <f t="shared" si="2"/>
        <v>1</v>
      </c>
      <c r="F515" s="6" t="s">
        <v>17</v>
      </c>
      <c r="G515" s="6" t="s">
        <v>18</v>
      </c>
      <c r="H515" s="6" t="s">
        <v>37</v>
      </c>
      <c r="I515" s="6" t="s">
        <v>87</v>
      </c>
      <c r="K515" s="3" t="b">
        <f t="shared" si="3"/>
        <v>0</v>
      </c>
      <c r="L515" s="8"/>
      <c r="M515" s="6">
        <v>2.0</v>
      </c>
      <c r="N515" s="10">
        <v>4990.0</v>
      </c>
      <c r="O515" s="7">
        <f t="shared" si="46"/>
        <v>9980</v>
      </c>
    </row>
    <row r="516">
      <c r="A516" s="6">
        <v>2025.0</v>
      </c>
      <c r="B516" s="6" t="s">
        <v>163</v>
      </c>
      <c r="C516" s="1">
        <f t="shared" si="1"/>
        <v>8</v>
      </c>
      <c r="D516" s="2" t="s">
        <v>16</v>
      </c>
      <c r="E516" s="6">
        <f t="shared" si="2"/>
        <v>1</v>
      </c>
      <c r="F516" s="6" t="s">
        <v>17</v>
      </c>
      <c r="G516" s="6" t="s">
        <v>18</v>
      </c>
      <c r="H516" s="6" t="s">
        <v>24</v>
      </c>
      <c r="I516" s="6" t="s">
        <v>136</v>
      </c>
      <c r="K516" s="3" t="b">
        <f t="shared" si="3"/>
        <v>0</v>
      </c>
      <c r="L516" s="8"/>
      <c r="M516" s="6">
        <v>1.0</v>
      </c>
      <c r="N516" s="10">
        <v>9990.0</v>
      </c>
      <c r="O516" s="7">
        <f t="shared" si="46"/>
        <v>9990</v>
      </c>
    </row>
    <row r="517">
      <c r="A517" s="6">
        <v>2025.0</v>
      </c>
      <c r="B517" s="6" t="s">
        <v>163</v>
      </c>
      <c r="C517" s="1">
        <f t="shared" si="1"/>
        <v>8</v>
      </c>
      <c r="D517" s="2" t="s">
        <v>16</v>
      </c>
      <c r="E517" s="6">
        <f t="shared" si="2"/>
        <v>1</v>
      </c>
      <c r="F517" s="6" t="s">
        <v>17</v>
      </c>
      <c r="G517" s="6" t="s">
        <v>18</v>
      </c>
      <c r="H517" s="6" t="s">
        <v>85</v>
      </c>
      <c r="I517" s="6" t="s">
        <v>88</v>
      </c>
      <c r="K517" s="3" t="b">
        <f t="shared" si="3"/>
        <v>0</v>
      </c>
      <c r="L517" s="8"/>
      <c r="M517" s="6">
        <v>1.0</v>
      </c>
      <c r="N517" s="10">
        <v>1150.0</v>
      </c>
      <c r="O517" s="7">
        <f t="shared" si="46"/>
        <v>1150</v>
      </c>
    </row>
    <row r="518">
      <c r="A518" s="6">
        <v>2025.0</v>
      </c>
      <c r="B518" s="6" t="s">
        <v>163</v>
      </c>
      <c r="C518" s="1">
        <f t="shared" si="1"/>
        <v>8</v>
      </c>
      <c r="D518" s="2" t="s">
        <v>16</v>
      </c>
      <c r="E518" s="6">
        <f t="shared" si="2"/>
        <v>1</v>
      </c>
      <c r="F518" s="6" t="s">
        <v>17</v>
      </c>
      <c r="G518" s="6" t="s">
        <v>83</v>
      </c>
      <c r="H518" s="6" t="s">
        <v>89</v>
      </c>
      <c r="I518" s="6" t="s">
        <v>90</v>
      </c>
      <c r="K518" s="3" t="b">
        <f t="shared" si="3"/>
        <v>0</v>
      </c>
      <c r="L518" s="8"/>
      <c r="M518" s="6">
        <v>1.0</v>
      </c>
      <c r="N518" s="9">
        <v>2450.0</v>
      </c>
      <c r="O518" s="7">
        <f t="shared" si="46"/>
        <v>2450</v>
      </c>
    </row>
    <row r="519">
      <c r="A519" s="6">
        <v>2025.0</v>
      </c>
      <c r="B519" s="6" t="s">
        <v>163</v>
      </c>
      <c r="C519" s="1">
        <f t="shared" si="1"/>
        <v>8</v>
      </c>
      <c r="D519" s="2" t="s">
        <v>16</v>
      </c>
      <c r="E519" s="6">
        <f t="shared" si="2"/>
        <v>1</v>
      </c>
      <c r="F519" s="6" t="s">
        <v>17</v>
      </c>
      <c r="G519" s="6" t="s">
        <v>83</v>
      </c>
      <c r="H519" s="6" t="s">
        <v>89</v>
      </c>
      <c r="I519" s="6" t="s">
        <v>115</v>
      </c>
      <c r="K519" s="3" t="b">
        <f t="shared" si="3"/>
        <v>0</v>
      </c>
      <c r="L519" s="8"/>
      <c r="M519" s="6">
        <v>1.0</v>
      </c>
      <c r="N519" s="10">
        <v>4950.0</v>
      </c>
      <c r="O519" s="7">
        <f t="shared" si="46"/>
        <v>4950</v>
      </c>
    </row>
    <row r="520">
      <c r="A520" s="6">
        <v>2025.0</v>
      </c>
      <c r="B520" s="6" t="s">
        <v>163</v>
      </c>
      <c r="C520" s="1">
        <f t="shared" si="1"/>
        <v>8</v>
      </c>
      <c r="D520" s="2" t="s">
        <v>16</v>
      </c>
      <c r="E520" s="6">
        <f t="shared" si="2"/>
        <v>1</v>
      </c>
      <c r="F520" s="6" t="s">
        <v>17</v>
      </c>
      <c r="G520" s="6" t="s">
        <v>18</v>
      </c>
      <c r="H520" s="6" t="s">
        <v>27</v>
      </c>
      <c r="I520" s="6" t="s">
        <v>118</v>
      </c>
      <c r="K520" s="3" t="b">
        <f t="shared" si="3"/>
        <v>0</v>
      </c>
      <c r="L520" s="8"/>
      <c r="M520" s="6">
        <v>1.0</v>
      </c>
      <c r="N520" s="7">
        <v>1750.0</v>
      </c>
      <c r="O520" s="7">
        <f t="shared" si="46"/>
        <v>1750</v>
      </c>
    </row>
    <row r="521">
      <c r="A521" s="6">
        <v>2025.0</v>
      </c>
      <c r="B521" s="6" t="s">
        <v>163</v>
      </c>
      <c r="C521" s="1">
        <f t="shared" si="1"/>
        <v>8</v>
      </c>
      <c r="D521" s="2" t="s">
        <v>16</v>
      </c>
      <c r="E521" s="6">
        <f t="shared" si="2"/>
        <v>1</v>
      </c>
      <c r="F521" s="6" t="s">
        <v>17</v>
      </c>
      <c r="G521" s="6" t="s">
        <v>18</v>
      </c>
      <c r="H521" s="6" t="s">
        <v>94</v>
      </c>
      <c r="I521" s="6" t="s">
        <v>95</v>
      </c>
      <c r="K521" s="3" t="b">
        <f t="shared" si="3"/>
        <v>1</v>
      </c>
      <c r="L521" s="8"/>
      <c r="M521" s="6">
        <v>1.0</v>
      </c>
      <c r="N521" s="9">
        <v>6450.0</v>
      </c>
      <c r="O521" s="7">
        <f t="shared" si="46"/>
        <v>6450</v>
      </c>
    </row>
    <row r="522">
      <c r="A522" s="6">
        <v>2025.0</v>
      </c>
      <c r="B522" s="6" t="s">
        <v>163</v>
      </c>
      <c r="C522" s="1">
        <f t="shared" si="1"/>
        <v>8</v>
      </c>
      <c r="D522" s="2" t="s">
        <v>16</v>
      </c>
      <c r="E522" s="6">
        <f t="shared" si="2"/>
        <v>1</v>
      </c>
      <c r="F522" s="6" t="s">
        <v>17</v>
      </c>
      <c r="G522" s="6" t="s">
        <v>18</v>
      </c>
      <c r="H522" s="6" t="s">
        <v>94</v>
      </c>
      <c r="I522" s="6" t="s">
        <v>95</v>
      </c>
      <c r="K522" s="3" t="b">
        <f t="shared" si="3"/>
        <v>1</v>
      </c>
      <c r="L522" s="8"/>
      <c r="M522" s="6">
        <v>1.0</v>
      </c>
      <c r="N522" s="7">
        <v>4950.0</v>
      </c>
      <c r="O522" s="7">
        <f t="shared" si="46"/>
        <v>4950</v>
      </c>
    </row>
    <row r="523">
      <c r="A523" s="6">
        <v>2025.0</v>
      </c>
      <c r="B523" s="6" t="s">
        <v>163</v>
      </c>
      <c r="C523" s="1">
        <f t="shared" si="1"/>
        <v>8</v>
      </c>
      <c r="D523" s="2" t="s">
        <v>16</v>
      </c>
      <c r="E523" s="6">
        <f t="shared" si="2"/>
        <v>1</v>
      </c>
      <c r="F523" s="6" t="s">
        <v>17</v>
      </c>
      <c r="G523" s="6" t="s">
        <v>18</v>
      </c>
      <c r="H523" s="6" t="s">
        <v>37</v>
      </c>
      <c r="I523" s="6" t="s">
        <v>98</v>
      </c>
      <c r="K523" s="3" t="b">
        <f t="shared" si="3"/>
        <v>0</v>
      </c>
      <c r="L523" s="8"/>
      <c r="M523" s="6">
        <v>1.0</v>
      </c>
      <c r="N523" s="9">
        <v>8700.0</v>
      </c>
      <c r="O523" s="7">
        <f t="shared" si="46"/>
        <v>8700</v>
      </c>
    </row>
    <row r="524">
      <c r="A524" s="6">
        <v>2025.0</v>
      </c>
      <c r="B524" s="6" t="s">
        <v>163</v>
      </c>
      <c r="C524" s="1">
        <f t="shared" si="1"/>
        <v>8</v>
      </c>
      <c r="D524" s="2" t="s">
        <v>16</v>
      </c>
      <c r="E524" s="6">
        <f t="shared" si="2"/>
        <v>1</v>
      </c>
      <c r="F524" s="6" t="s">
        <v>17</v>
      </c>
      <c r="G524" s="6" t="s">
        <v>18</v>
      </c>
      <c r="H524" s="6" t="s">
        <v>85</v>
      </c>
      <c r="I524" s="6" t="s">
        <v>146</v>
      </c>
      <c r="K524" s="3" t="b">
        <f t="shared" si="3"/>
        <v>0</v>
      </c>
      <c r="L524" s="8"/>
      <c r="M524" s="6">
        <v>1.0</v>
      </c>
      <c r="N524" s="10">
        <v>1150.0</v>
      </c>
      <c r="O524" s="7">
        <f t="shared" si="46"/>
        <v>1150</v>
      </c>
    </row>
    <row r="525">
      <c r="A525" s="6">
        <v>2025.0</v>
      </c>
      <c r="B525" s="6" t="s">
        <v>163</v>
      </c>
      <c r="C525" s="1">
        <f t="shared" si="1"/>
        <v>8</v>
      </c>
      <c r="D525" s="2" t="s">
        <v>16</v>
      </c>
      <c r="E525" s="6">
        <f t="shared" si="2"/>
        <v>1</v>
      </c>
      <c r="F525" s="6" t="s">
        <v>17</v>
      </c>
      <c r="G525" s="6" t="s">
        <v>18</v>
      </c>
      <c r="H525" s="6" t="s">
        <v>27</v>
      </c>
      <c r="I525" s="6" t="s">
        <v>100</v>
      </c>
      <c r="K525" s="3" t="b">
        <f t="shared" si="3"/>
        <v>0</v>
      </c>
      <c r="L525" s="8"/>
      <c r="M525" s="6">
        <v>1.0</v>
      </c>
      <c r="N525" s="9">
        <v>3790.0</v>
      </c>
      <c r="O525" s="7">
        <f t="shared" si="46"/>
        <v>3790</v>
      </c>
    </row>
    <row r="526">
      <c r="A526" s="6">
        <v>2025.0</v>
      </c>
      <c r="B526" s="6" t="s">
        <v>163</v>
      </c>
      <c r="C526" s="1">
        <f t="shared" si="1"/>
        <v>8</v>
      </c>
      <c r="D526" s="2" t="s">
        <v>16</v>
      </c>
      <c r="E526" s="6">
        <f t="shared" si="2"/>
        <v>1</v>
      </c>
      <c r="F526" s="6" t="s">
        <v>17</v>
      </c>
      <c r="G526" s="6" t="s">
        <v>18</v>
      </c>
      <c r="H526" s="6" t="s">
        <v>27</v>
      </c>
      <c r="I526" s="6" t="s">
        <v>101</v>
      </c>
      <c r="K526" s="3" t="b">
        <f t="shared" si="3"/>
        <v>0</v>
      </c>
      <c r="L526" s="8"/>
      <c r="M526" s="6">
        <v>1.0</v>
      </c>
      <c r="N526" s="10">
        <v>4490.0</v>
      </c>
      <c r="O526" s="7">
        <f t="shared" si="46"/>
        <v>4490</v>
      </c>
    </row>
    <row r="527">
      <c r="A527" s="6">
        <v>2025.0</v>
      </c>
      <c r="B527" s="6" t="s">
        <v>163</v>
      </c>
      <c r="C527" s="1">
        <f t="shared" si="1"/>
        <v>8</v>
      </c>
      <c r="D527" s="2" t="s">
        <v>16</v>
      </c>
      <c r="E527" s="6">
        <f t="shared" si="2"/>
        <v>1</v>
      </c>
      <c r="F527" s="6" t="s">
        <v>17</v>
      </c>
      <c r="G527" s="6" t="s">
        <v>79</v>
      </c>
      <c r="H527" s="6" t="s">
        <v>96</v>
      </c>
      <c r="I527" s="6" t="s">
        <v>114</v>
      </c>
      <c r="K527" s="3" t="b">
        <f t="shared" si="3"/>
        <v>0</v>
      </c>
      <c r="L527" s="8"/>
      <c r="M527" s="6">
        <v>1.0</v>
      </c>
      <c r="N527" s="7">
        <v>4250.0</v>
      </c>
      <c r="O527" s="7">
        <f t="shared" si="46"/>
        <v>4250</v>
      </c>
    </row>
    <row r="528">
      <c r="A528" s="6">
        <v>2025.0</v>
      </c>
      <c r="B528" s="6" t="s">
        <v>163</v>
      </c>
      <c r="C528" s="1">
        <f t="shared" si="1"/>
        <v>8</v>
      </c>
      <c r="D528" s="2" t="s">
        <v>16</v>
      </c>
      <c r="E528" s="6">
        <f t="shared" si="2"/>
        <v>1</v>
      </c>
      <c r="F528" s="6" t="s">
        <v>17</v>
      </c>
      <c r="G528" s="6" t="s">
        <v>18</v>
      </c>
      <c r="H528" s="6" t="s">
        <v>94</v>
      </c>
      <c r="I528" s="6" t="s">
        <v>103</v>
      </c>
      <c r="K528" s="3" t="b">
        <f t="shared" si="3"/>
        <v>0</v>
      </c>
      <c r="L528" s="8"/>
      <c r="M528" s="6">
        <v>3.0</v>
      </c>
      <c r="N528" s="7">
        <v>1950.0</v>
      </c>
      <c r="O528" s="7">
        <f t="shared" si="46"/>
        <v>5850</v>
      </c>
    </row>
    <row r="529">
      <c r="A529" s="6">
        <v>2025.0</v>
      </c>
      <c r="B529" s="6" t="s">
        <v>163</v>
      </c>
      <c r="C529" s="1">
        <f t="shared" si="1"/>
        <v>8</v>
      </c>
      <c r="D529" s="2" t="s">
        <v>16</v>
      </c>
      <c r="E529" s="6">
        <f t="shared" si="2"/>
        <v>1</v>
      </c>
      <c r="F529" s="6" t="s">
        <v>17</v>
      </c>
      <c r="G529" s="6" t="s">
        <v>18</v>
      </c>
      <c r="H529" s="6" t="s">
        <v>19</v>
      </c>
      <c r="I529" s="6" t="s">
        <v>104</v>
      </c>
      <c r="K529" s="3" t="b">
        <f t="shared" si="3"/>
        <v>0</v>
      </c>
      <c r="L529" s="8"/>
      <c r="M529" s="6">
        <v>1.0</v>
      </c>
      <c r="N529" s="7">
        <v>7990.0</v>
      </c>
      <c r="O529" s="7">
        <f t="shared" si="46"/>
        <v>7990</v>
      </c>
    </row>
    <row r="530">
      <c r="A530" s="6">
        <v>2025.0</v>
      </c>
      <c r="B530" s="6" t="s">
        <v>163</v>
      </c>
      <c r="C530" s="1">
        <f t="shared" si="1"/>
        <v>8</v>
      </c>
      <c r="D530" s="2" t="s">
        <v>16</v>
      </c>
      <c r="E530" s="6">
        <f t="shared" si="2"/>
        <v>1</v>
      </c>
      <c r="F530" s="6" t="s">
        <v>30</v>
      </c>
      <c r="G530" s="6" t="s">
        <v>18</v>
      </c>
      <c r="H530" s="6" t="s">
        <v>19</v>
      </c>
      <c r="I530" s="6" t="s">
        <v>144</v>
      </c>
      <c r="K530" s="3" t="b">
        <f t="shared" si="3"/>
        <v>0</v>
      </c>
      <c r="L530" s="3">
        <v>1000.0</v>
      </c>
      <c r="M530" s="6">
        <v>1.0</v>
      </c>
      <c r="N530" s="7">
        <v>20950.0</v>
      </c>
      <c r="O530" s="7">
        <f t="shared" si="46"/>
        <v>20950</v>
      </c>
    </row>
    <row r="531">
      <c r="A531" s="6">
        <v>2025.0</v>
      </c>
      <c r="B531" s="6" t="s">
        <v>163</v>
      </c>
      <c r="C531" s="1">
        <f t="shared" si="1"/>
        <v>8</v>
      </c>
      <c r="D531" s="2" t="s">
        <v>16</v>
      </c>
      <c r="E531" s="6">
        <f t="shared" si="2"/>
        <v>1</v>
      </c>
      <c r="F531" s="6" t="s">
        <v>30</v>
      </c>
      <c r="G531" s="6" t="s">
        <v>18</v>
      </c>
      <c r="H531" s="6" t="s">
        <v>49</v>
      </c>
      <c r="I531" s="6" t="s">
        <v>50</v>
      </c>
      <c r="K531" s="3" t="b">
        <f t="shared" si="3"/>
        <v>0</v>
      </c>
      <c r="L531" s="3">
        <v>3565.0</v>
      </c>
      <c r="N531" s="7">
        <v>1980.0</v>
      </c>
      <c r="O531" s="7">
        <f t="shared" ref="O531:O546" si="47">N531*L531/1000</f>
        <v>7058.7</v>
      </c>
    </row>
    <row r="532">
      <c r="A532" s="6">
        <v>2025.0</v>
      </c>
      <c r="B532" s="6" t="s">
        <v>163</v>
      </c>
      <c r="C532" s="1">
        <f t="shared" si="1"/>
        <v>8</v>
      </c>
      <c r="D532" s="2" t="s">
        <v>16</v>
      </c>
      <c r="E532" s="6">
        <f t="shared" si="2"/>
        <v>1</v>
      </c>
      <c r="F532" s="6" t="s">
        <v>30</v>
      </c>
      <c r="G532" s="6" t="s">
        <v>18</v>
      </c>
      <c r="H532" s="6" t="s">
        <v>33</v>
      </c>
      <c r="I532" s="6" t="s">
        <v>59</v>
      </c>
      <c r="K532" s="3" t="b">
        <f t="shared" si="3"/>
        <v>0</v>
      </c>
      <c r="L532" s="3">
        <v>1120.0</v>
      </c>
      <c r="N532" s="7">
        <v>2580.0</v>
      </c>
      <c r="O532" s="7">
        <f t="shared" si="47"/>
        <v>2889.6</v>
      </c>
    </row>
    <row r="533">
      <c r="A533" s="6">
        <v>2025.0</v>
      </c>
      <c r="B533" s="6" t="s">
        <v>163</v>
      </c>
      <c r="C533" s="1">
        <f t="shared" si="1"/>
        <v>8</v>
      </c>
      <c r="D533" s="2" t="s">
        <v>16</v>
      </c>
      <c r="E533" s="6">
        <f t="shared" si="2"/>
        <v>1</v>
      </c>
      <c r="F533" s="6" t="s">
        <v>30</v>
      </c>
      <c r="G533" s="6" t="s">
        <v>18</v>
      </c>
      <c r="H533" s="6" t="s">
        <v>49</v>
      </c>
      <c r="I533" s="6" t="s">
        <v>62</v>
      </c>
      <c r="K533" s="3" t="b">
        <f t="shared" si="3"/>
        <v>0</v>
      </c>
      <c r="L533" s="3">
        <v>3470.0</v>
      </c>
      <c r="N533" s="7">
        <v>4580.0</v>
      </c>
      <c r="O533" s="7">
        <f t="shared" si="47"/>
        <v>15892.6</v>
      </c>
    </row>
    <row r="534">
      <c r="A534" s="6">
        <v>2025.0</v>
      </c>
      <c r="B534" s="6" t="s">
        <v>163</v>
      </c>
      <c r="C534" s="1">
        <f t="shared" si="1"/>
        <v>8</v>
      </c>
      <c r="D534" s="2" t="s">
        <v>16</v>
      </c>
      <c r="E534" s="6">
        <f t="shared" si="2"/>
        <v>1</v>
      </c>
      <c r="F534" s="6" t="s">
        <v>30</v>
      </c>
      <c r="G534" s="6" t="s">
        <v>18</v>
      </c>
      <c r="H534" s="6" t="s">
        <v>49</v>
      </c>
      <c r="I534" s="6" t="s">
        <v>142</v>
      </c>
      <c r="K534" s="3" t="b">
        <f t="shared" si="3"/>
        <v>0</v>
      </c>
      <c r="L534" s="3">
        <v>255.0</v>
      </c>
      <c r="N534" s="7">
        <v>4980.0</v>
      </c>
      <c r="O534" s="7">
        <f t="shared" si="47"/>
        <v>1269.9</v>
      </c>
    </row>
    <row r="535">
      <c r="A535" s="6">
        <v>2025.0</v>
      </c>
      <c r="B535" s="6" t="s">
        <v>163</v>
      </c>
      <c r="C535" s="1">
        <f t="shared" si="1"/>
        <v>8</v>
      </c>
      <c r="D535" s="2" t="s">
        <v>16</v>
      </c>
      <c r="E535" s="6">
        <f t="shared" si="2"/>
        <v>1</v>
      </c>
      <c r="F535" s="6" t="s">
        <v>30</v>
      </c>
      <c r="G535" s="6" t="s">
        <v>18</v>
      </c>
      <c r="H535" s="6" t="s">
        <v>33</v>
      </c>
      <c r="I535" s="6" t="s">
        <v>70</v>
      </c>
      <c r="K535" s="3" t="b">
        <f t="shared" si="3"/>
        <v>0</v>
      </c>
      <c r="L535" s="3">
        <v>3005.0</v>
      </c>
      <c r="N535" s="7">
        <v>2380.0</v>
      </c>
      <c r="O535" s="7">
        <f t="shared" si="47"/>
        <v>7151.9</v>
      </c>
    </row>
    <row r="536">
      <c r="A536" s="6">
        <v>2025.0</v>
      </c>
      <c r="B536" s="6" t="s">
        <v>163</v>
      </c>
      <c r="C536" s="1">
        <f t="shared" si="1"/>
        <v>8</v>
      </c>
      <c r="D536" s="2" t="s">
        <v>16</v>
      </c>
      <c r="E536" s="6">
        <f t="shared" si="2"/>
        <v>1</v>
      </c>
      <c r="F536" s="6" t="s">
        <v>30</v>
      </c>
      <c r="G536" s="6" t="s">
        <v>18</v>
      </c>
      <c r="H536" s="6" t="s">
        <v>37</v>
      </c>
      <c r="I536" s="6" t="s">
        <v>60</v>
      </c>
      <c r="K536" s="3" t="b">
        <f t="shared" si="3"/>
        <v>0</v>
      </c>
      <c r="L536" s="3">
        <v>5842.0</v>
      </c>
      <c r="N536" s="7">
        <v>7980.0</v>
      </c>
      <c r="O536" s="7">
        <f t="shared" si="47"/>
        <v>46619.16</v>
      </c>
    </row>
    <row r="537">
      <c r="A537" s="6">
        <v>2025.0</v>
      </c>
      <c r="B537" s="6" t="s">
        <v>163</v>
      </c>
      <c r="C537" s="1">
        <f t="shared" si="1"/>
        <v>8</v>
      </c>
      <c r="D537" s="2" t="s">
        <v>16</v>
      </c>
      <c r="E537" s="6">
        <f t="shared" si="2"/>
        <v>1</v>
      </c>
      <c r="F537" s="6" t="s">
        <v>30</v>
      </c>
      <c r="G537" s="6" t="s">
        <v>18</v>
      </c>
      <c r="H537" s="6" t="s">
        <v>37</v>
      </c>
      <c r="I537" s="6" t="s">
        <v>45</v>
      </c>
      <c r="K537" s="3" t="b">
        <f t="shared" si="3"/>
        <v>0</v>
      </c>
      <c r="L537" s="3">
        <v>790.0</v>
      </c>
      <c r="N537" s="7">
        <v>16780.0</v>
      </c>
      <c r="O537" s="7">
        <f t="shared" si="47"/>
        <v>13256.2</v>
      </c>
    </row>
    <row r="538">
      <c r="A538" s="6">
        <v>2025.0</v>
      </c>
      <c r="B538" s="6" t="s">
        <v>163</v>
      </c>
      <c r="C538" s="1">
        <f t="shared" si="1"/>
        <v>8</v>
      </c>
      <c r="D538" s="2" t="s">
        <v>16</v>
      </c>
      <c r="E538" s="6">
        <f t="shared" si="2"/>
        <v>1</v>
      </c>
      <c r="F538" s="6" t="s">
        <v>30</v>
      </c>
      <c r="G538" s="6" t="s">
        <v>18</v>
      </c>
      <c r="H538" s="6" t="s">
        <v>37</v>
      </c>
      <c r="I538" s="6" t="s">
        <v>67</v>
      </c>
      <c r="K538" s="3" t="b">
        <f t="shared" si="3"/>
        <v>0</v>
      </c>
      <c r="L538" s="3">
        <v>976.0</v>
      </c>
      <c r="N538" s="7">
        <v>16580.0</v>
      </c>
      <c r="O538" s="7">
        <f t="shared" si="47"/>
        <v>16182.08</v>
      </c>
    </row>
    <row r="539">
      <c r="A539" s="6">
        <v>2025.0</v>
      </c>
      <c r="B539" s="6" t="s">
        <v>163</v>
      </c>
      <c r="C539" s="1">
        <f t="shared" si="1"/>
        <v>8</v>
      </c>
      <c r="D539" s="2" t="s">
        <v>16</v>
      </c>
      <c r="E539" s="6">
        <f t="shared" si="2"/>
        <v>1</v>
      </c>
      <c r="F539" s="6" t="s">
        <v>30</v>
      </c>
      <c r="G539" s="6" t="s">
        <v>18</v>
      </c>
      <c r="H539" s="6" t="s">
        <v>37</v>
      </c>
      <c r="I539" s="6" t="s">
        <v>47</v>
      </c>
      <c r="K539" s="3" t="b">
        <f t="shared" si="3"/>
        <v>0</v>
      </c>
      <c r="L539" s="3">
        <v>968.0</v>
      </c>
      <c r="N539" s="7">
        <v>32580.0</v>
      </c>
      <c r="O539" s="7">
        <f t="shared" si="47"/>
        <v>31537.44</v>
      </c>
    </row>
    <row r="540">
      <c r="A540" s="6">
        <v>2025.0</v>
      </c>
      <c r="B540" s="6" t="s">
        <v>163</v>
      </c>
      <c r="C540" s="1">
        <f t="shared" si="1"/>
        <v>8</v>
      </c>
      <c r="D540" s="2" t="s">
        <v>16</v>
      </c>
      <c r="E540" s="6">
        <f t="shared" si="2"/>
        <v>1</v>
      </c>
      <c r="F540" s="6" t="s">
        <v>30</v>
      </c>
      <c r="G540" s="6" t="s">
        <v>18</v>
      </c>
      <c r="H540" s="6" t="s">
        <v>37</v>
      </c>
      <c r="I540" s="6" t="s">
        <v>68</v>
      </c>
      <c r="K540" s="3" t="b">
        <f t="shared" si="3"/>
        <v>0</v>
      </c>
      <c r="L540" s="3">
        <v>2038.0</v>
      </c>
      <c r="N540" s="7">
        <v>19980.0</v>
      </c>
      <c r="O540" s="7">
        <f t="shared" si="47"/>
        <v>40719.24</v>
      </c>
    </row>
    <row r="541">
      <c r="A541" s="6">
        <v>2025.0</v>
      </c>
      <c r="B541" s="6" t="s">
        <v>163</v>
      </c>
      <c r="C541" s="1">
        <f t="shared" si="1"/>
        <v>8</v>
      </c>
      <c r="D541" s="2" t="s">
        <v>16</v>
      </c>
      <c r="E541" s="6">
        <f t="shared" si="2"/>
        <v>1</v>
      </c>
      <c r="F541" s="6" t="s">
        <v>30</v>
      </c>
      <c r="G541" s="6" t="s">
        <v>18</v>
      </c>
      <c r="H541" s="6" t="s">
        <v>49</v>
      </c>
      <c r="I541" s="6" t="s">
        <v>57</v>
      </c>
      <c r="K541" s="3" t="b">
        <f t="shared" si="3"/>
        <v>0</v>
      </c>
      <c r="L541" s="3">
        <v>1960.0</v>
      </c>
      <c r="N541" s="7">
        <v>2380.0</v>
      </c>
      <c r="O541" s="7">
        <f t="shared" si="47"/>
        <v>4664.8</v>
      </c>
    </row>
    <row r="542">
      <c r="A542" s="6">
        <v>2025.0</v>
      </c>
      <c r="B542" s="6" t="s">
        <v>163</v>
      </c>
      <c r="C542" s="1">
        <f t="shared" si="1"/>
        <v>8</v>
      </c>
      <c r="D542" s="2" t="s">
        <v>16</v>
      </c>
      <c r="E542" s="6">
        <f t="shared" si="2"/>
        <v>1</v>
      </c>
      <c r="F542" s="6" t="s">
        <v>30</v>
      </c>
      <c r="G542" s="6" t="s">
        <v>18</v>
      </c>
      <c r="H542" s="6" t="s">
        <v>49</v>
      </c>
      <c r="I542" s="6" t="s">
        <v>58</v>
      </c>
      <c r="K542" s="3" t="b">
        <f t="shared" si="3"/>
        <v>0</v>
      </c>
      <c r="L542" s="3">
        <v>1145.0</v>
      </c>
      <c r="N542" s="7">
        <v>4380.0</v>
      </c>
      <c r="O542" s="7">
        <f t="shared" si="47"/>
        <v>5015.1</v>
      </c>
    </row>
    <row r="543">
      <c r="A543" s="6">
        <v>2025.0</v>
      </c>
      <c r="B543" s="6" t="s">
        <v>163</v>
      </c>
      <c r="C543" s="1">
        <f t="shared" si="1"/>
        <v>8</v>
      </c>
      <c r="D543" s="2" t="s">
        <v>16</v>
      </c>
      <c r="E543" s="6">
        <f t="shared" si="2"/>
        <v>1</v>
      </c>
      <c r="F543" s="6" t="s">
        <v>30</v>
      </c>
      <c r="G543" s="6" t="s">
        <v>18</v>
      </c>
      <c r="H543" s="6" t="s">
        <v>49</v>
      </c>
      <c r="I543" s="6" t="s">
        <v>71</v>
      </c>
      <c r="K543" s="3" t="b">
        <f t="shared" si="3"/>
        <v>0</v>
      </c>
      <c r="L543" s="3">
        <v>720.0</v>
      </c>
      <c r="N543" s="7">
        <v>4180.0</v>
      </c>
      <c r="O543" s="7">
        <f t="shared" si="47"/>
        <v>3009.6</v>
      </c>
    </row>
    <row r="544">
      <c r="A544" s="6">
        <v>2025.0</v>
      </c>
      <c r="B544" s="6" t="s">
        <v>163</v>
      </c>
      <c r="C544" s="1">
        <f t="shared" si="1"/>
        <v>8</v>
      </c>
      <c r="D544" s="2" t="s">
        <v>16</v>
      </c>
      <c r="E544" s="6">
        <f t="shared" si="2"/>
        <v>1</v>
      </c>
      <c r="F544" s="6" t="s">
        <v>30</v>
      </c>
      <c r="G544" s="6" t="s">
        <v>18</v>
      </c>
      <c r="H544" s="6" t="s">
        <v>49</v>
      </c>
      <c r="I544" s="6" t="s">
        <v>74</v>
      </c>
      <c r="K544" s="3" t="b">
        <f t="shared" si="3"/>
        <v>0</v>
      </c>
      <c r="L544" s="3">
        <v>2130.0</v>
      </c>
      <c r="N544" s="7">
        <v>1300.0</v>
      </c>
      <c r="O544" s="7">
        <f t="shared" si="47"/>
        <v>2769</v>
      </c>
    </row>
    <row r="545">
      <c r="A545" s="6">
        <v>2025.0</v>
      </c>
      <c r="B545" s="6" t="s">
        <v>163</v>
      </c>
      <c r="C545" s="1">
        <f t="shared" si="1"/>
        <v>8</v>
      </c>
      <c r="D545" s="2" t="s">
        <v>16</v>
      </c>
      <c r="E545" s="6">
        <f t="shared" si="2"/>
        <v>1</v>
      </c>
      <c r="F545" s="6" t="s">
        <v>30</v>
      </c>
      <c r="G545" s="6" t="s">
        <v>18</v>
      </c>
      <c r="H545" s="6" t="s">
        <v>49</v>
      </c>
      <c r="I545" s="6" t="s">
        <v>63</v>
      </c>
      <c r="K545" s="3" t="b">
        <f t="shared" si="3"/>
        <v>0</v>
      </c>
      <c r="L545" s="3">
        <v>1345.0</v>
      </c>
      <c r="N545" s="7">
        <v>4780.0</v>
      </c>
      <c r="O545" s="7">
        <f t="shared" si="47"/>
        <v>6429.1</v>
      </c>
    </row>
    <row r="546">
      <c r="A546" s="6">
        <v>2025.0</v>
      </c>
      <c r="B546" s="6" t="s">
        <v>163</v>
      </c>
      <c r="C546" s="1">
        <f t="shared" si="1"/>
        <v>8</v>
      </c>
      <c r="D546" s="2" t="s">
        <v>16</v>
      </c>
      <c r="E546" s="6">
        <f t="shared" si="2"/>
        <v>1</v>
      </c>
      <c r="F546" s="6" t="s">
        <v>30</v>
      </c>
      <c r="G546" s="6" t="s">
        <v>18</v>
      </c>
      <c r="H546" s="6" t="s">
        <v>49</v>
      </c>
      <c r="I546" s="6" t="s">
        <v>153</v>
      </c>
      <c r="K546" s="3" t="b">
        <f t="shared" si="3"/>
        <v>0</v>
      </c>
      <c r="L546" s="3">
        <v>565.0</v>
      </c>
      <c r="N546" s="7">
        <v>5180.0</v>
      </c>
      <c r="O546" s="7">
        <f t="shared" si="47"/>
        <v>2926.7</v>
      </c>
    </row>
    <row r="547">
      <c r="A547" s="6">
        <v>2025.0</v>
      </c>
      <c r="B547" s="6" t="s">
        <v>163</v>
      </c>
      <c r="C547" s="1">
        <f t="shared" si="1"/>
        <v>8</v>
      </c>
      <c r="D547" s="2" t="s">
        <v>16</v>
      </c>
      <c r="E547" s="6">
        <f t="shared" si="2"/>
        <v>1</v>
      </c>
      <c r="F547" s="6" t="s">
        <v>30</v>
      </c>
      <c r="G547" s="6" t="s">
        <v>18</v>
      </c>
      <c r="H547" s="6" t="s">
        <v>24</v>
      </c>
      <c r="I547" s="6" t="s">
        <v>42</v>
      </c>
      <c r="K547" s="3" t="b">
        <f t="shared" si="3"/>
        <v>0</v>
      </c>
      <c r="L547" s="3">
        <v>400.0</v>
      </c>
      <c r="M547" s="6">
        <v>1.0</v>
      </c>
      <c r="N547" s="7">
        <v>21990.0</v>
      </c>
      <c r="O547" s="7">
        <f t="shared" ref="O547:O550" si="48">N547*M547</f>
        <v>21990</v>
      </c>
    </row>
    <row r="548">
      <c r="A548" s="6">
        <v>2025.0</v>
      </c>
      <c r="B548" s="6" t="s">
        <v>163</v>
      </c>
      <c r="C548" s="1">
        <f t="shared" si="1"/>
        <v>8</v>
      </c>
      <c r="D548" s="2" t="s">
        <v>16</v>
      </c>
      <c r="E548" s="6">
        <f t="shared" si="2"/>
        <v>1</v>
      </c>
      <c r="F548" s="6" t="s">
        <v>30</v>
      </c>
      <c r="G548" s="6" t="s">
        <v>18</v>
      </c>
      <c r="H548" s="6" t="s">
        <v>31</v>
      </c>
      <c r="I548" s="6" t="s">
        <v>32</v>
      </c>
      <c r="K548" s="3" t="b">
        <f t="shared" si="3"/>
        <v>0</v>
      </c>
      <c r="L548" s="3">
        <v>900.0</v>
      </c>
      <c r="M548" s="6">
        <v>1.0</v>
      </c>
      <c r="N548" s="7">
        <v>7200.0</v>
      </c>
      <c r="O548" s="7">
        <f t="shared" si="48"/>
        <v>7200</v>
      </c>
    </row>
    <row r="549">
      <c r="A549" s="6">
        <v>2025.0</v>
      </c>
      <c r="B549" s="6" t="s">
        <v>163</v>
      </c>
      <c r="C549" s="1">
        <f t="shared" si="1"/>
        <v>8</v>
      </c>
      <c r="D549" s="2" t="s">
        <v>16</v>
      </c>
      <c r="E549" s="6">
        <f t="shared" si="2"/>
        <v>1</v>
      </c>
      <c r="F549" s="6" t="s">
        <v>30</v>
      </c>
      <c r="G549" s="6" t="s">
        <v>18</v>
      </c>
      <c r="H549" s="6" t="s">
        <v>37</v>
      </c>
      <c r="I549" s="6" t="s">
        <v>38</v>
      </c>
      <c r="K549" s="3" t="b">
        <f t="shared" si="3"/>
        <v>0</v>
      </c>
      <c r="L549" s="3">
        <v>160.0</v>
      </c>
      <c r="M549" s="6">
        <v>1.0</v>
      </c>
      <c r="N549" s="7">
        <v>4990.0</v>
      </c>
      <c r="O549" s="7">
        <f t="shared" si="48"/>
        <v>4990</v>
      </c>
    </row>
    <row r="550">
      <c r="A550" s="6">
        <v>2025.0</v>
      </c>
      <c r="B550" s="6" t="s">
        <v>163</v>
      </c>
      <c r="C550" s="1">
        <f t="shared" si="1"/>
        <v>8</v>
      </c>
      <c r="D550" s="2" t="s">
        <v>16</v>
      </c>
      <c r="E550" s="6">
        <f t="shared" si="2"/>
        <v>1</v>
      </c>
      <c r="F550" s="6" t="s">
        <v>30</v>
      </c>
      <c r="G550" s="6" t="s">
        <v>18</v>
      </c>
      <c r="H550" s="6" t="s">
        <v>52</v>
      </c>
      <c r="I550" s="6" t="s">
        <v>54</v>
      </c>
      <c r="K550" s="3" t="b">
        <f t="shared" si="3"/>
        <v>0</v>
      </c>
      <c r="L550" s="3">
        <v>500.0</v>
      </c>
      <c r="M550" s="6">
        <v>1.0</v>
      </c>
      <c r="N550" s="7">
        <v>4390.0</v>
      </c>
      <c r="O550" s="7">
        <f t="shared" si="48"/>
        <v>4390</v>
      </c>
    </row>
    <row r="551">
      <c r="A551" s="6">
        <v>2025.0</v>
      </c>
      <c r="B551" s="6" t="s">
        <v>163</v>
      </c>
      <c r="C551" s="1">
        <f t="shared" si="1"/>
        <v>8</v>
      </c>
      <c r="D551" s="2" t="s">
        <v>16</v>
      </c>
      <c r="E551" s="6">
        <f t="shared" si="2"/>
        <v>1</v>
      </c>
      <c r="F551" s="6" t="s">
        <v>30</v>
      </c>
      <c r="G551" s="6" t="s">
        <v>18</v>
      </c>
      <c r="H551" s="6" t="s">
        <v>33</v>
      </c>
      <c r="I551" s="6" t="s">
        <v>149</v>
      </c>
      <c r="K551" s="3" t="b">
        <f t="shared" si="3"/>
        <v>0</v>
      </c>
      <c r="L551" s="3">
        <v>755.0</v>
      </c>
      <c r="N551" s="7">
        <v>4380.0</v>
      </c>
      <c r="O551" s="7">
        <f>N551*L551/1000</f>
        <v>3306.9</v>
      </c>
    </row>
    <row r="552">
      <c r="A552" s="6">
        <v>2025.0</v>
      </c>
      <c r="B552" s="6" t="s">
        <v>163</v>
      </c>
      <c r="C552" s="1">
        <f t="shared" si="1"/>
        <v>8</v>
      </c>
      <c r="D552" s="2" t="s">
        <v>16</v>
      </c>
      <c r="E552" s="6">
        <f t="shared" si="2"/>
        <v>1</v>
      </c>
      <c r="F552" s="6" t="s">
        <v>30</v>
      </c>
      <c r="G552" s="6" t="s">
        <v>18</v>
      </c>
      <c r="H552" s="6" t="s">
        <v>27</v>
      </c>
      <c r="I552" s="6" t="s">
        <v>112</v>
      </c>
      <c r="K552" s="3" t="b">
        <f t="shared" si="3"/>
        <v>0</v>
      </c>
      <c r="L552" s="3">
        <v>55.0</v>
      </c>
      <c r="M552" s="6">
        <v>1.0</v>
      </c>
      <c r="N552" s="7">
        <v>1990.0</v>
      </c>
      <c r="O552" s="7">
        <f t="shared" ref="O552:O570" si="49">N552*M552</f>
        <v>1990</v>
      </c>
    </row>
    <row r="553">
      <c r="A553" s="6">
        <v>2025.0</v>
      </c>
      <c r="B553" s="6" t="s">
        <v>163</v>
      </c>
      <c r="C553" s="1">
        <f t="shared" si="1"/>
        <v>8</v>
      </c>
      <c r="D553" s="2" t="s">
        <v>16</v>
      </c>
      <c r="E553" s="6">
        <f t="shared" si="2"/>
        <v>1</v>
      </c>
      <c r="F553" s="6" t="s">
        <v>30</v>
      </c>
      <c r="G553" s="6" t="s">
        <v>18</v>
      </c>
      <c r="H553" s="6" t="s">
        <v>52</v>
      </c>
      <c r="I553" s="6" t="s">
        <v>53</v>
      </c>
      <c r="K553" s="3" t="b">
        <f t="shared" si="3"/>
        <v>0</v>
      </c>
      <c r="L553" s="3">
        <v>500.0</v>
      </c>
      <c r="M553" s="6">
        <v>1.0</v>
      </c>
      <c r="N553" s="7">
        <v>3500.0</v>
      </c>
      <c r="O553" s="7">
        <f t="shared" si="49"/>
        <v>3500</v>
      </c>
    </row>
    <row r="554">
      <c r="A554" s="6">
        <v>2025.0</v>
      </c>
      <c r="B554" s="6" t="s">
        <v>163</v>
      </c>
      <c r="C554" s="1">
        <f t="shared" si="1"/>
        <v>8</v>
      </c>
      <c r="D554" s="2" t="s">
        <v>16</v>
      </c>
      <c r="E554" s="6">
        <f t="shared" si="2"/>
        <v>1</v>
      </c>
      <c r="F554" s="6" t="s">
        <v>30</v>
      </c>
      <c r="G554" s="6" t="s">
        <v>18</v>
      </c>
      <c r="H554" s="6" t="s">
        <v>27</v>
      </c>
      <c r="I554" s="6" t="s">
        <v>164</v>
      </c>
      <c r="K554" s="3" t="b">
        <f t="shared" si="3"/>
        <v>0</v>
      </c>
      <c r="L554" s="3">
        <v>28.0</v>
      </c>
      <c r="M554" s="6">
        <v>1.0</v>
      </c>
      <c r="N554" s="7">
        <v>1550.0</v>
      </c>
      <c r="O554" s="7">
        <f t="shared" si="49"/>
        <v>1550</v>
      </c>
    </row>
    <row r="555">
      <c r="A555" s="6">
        <v>2025.0</v>
      </c>
      <c r="B555" s="6" t="s">
        <v>163</v>
      </c>
      <c r="C555" s="1">
        <f t="shared" si="1"/>
        <v>8</v>
      </c>
      <c r="D555" s="2" t="s">
        <v>16</v>
      </c>
      <c r="E555" s="6">
        <f t="shared" si="2"/>
        <v>1</v>
      </c>
      <c r="F555" s="6" t="s">
        <v>30</v>
      </c>
      <c r="G555" s="6" t="s">
        <v>18</v>
      </c>
      <c r="H555" s="6" t="s">
        <v>27</v>
      </c>
      <c r="I555" s="6" t="s">
        <v>165</v>
      </c>
      <c r="K555" s="3" t="b">
        <f t="shared" si="3"/>
        <v>0</v>
      </c>
      <c r="L555" s="3">
        <v>28.0</v>
      </c>
      <c r="M555" s="6">
        <v>1.0</v>
      </c>
      <c r="N555" s="7">
        <v>1550.0</v>
      </c>
      <c r="O555" s="7">
        <f t="shared" si="49"/>
        <v>1550</v>
      </c>
    </row>
    <row r="556">
      <c r="A556" s="6">
        <v>2025.0</v>
      </c>
      <c r="B556" s="6" t="s">
        <v>163</v>
      </c>
      <c r="C556" s="1">
        <f t="shared" si="1"/>
        <v>8</v>
      </c>
      <c r="D556" s="2" t="s">
        <v>16</v>
      </c>
      <c r="E556" s="6">
        <f t="shared" si="2"/>
        <v>1</v>
      </c>
      <c r="F556" s="6" t="s">
        <v>30</v>
      </c>
      <c r="G556" s="6" t="s">
        <v>18</v>
      </c>
      <c r="H556" s="6" t="s">
        <v>52</v>
      </c>
      <c r="I556" s="6" t="s">
        <v>75</v>
      </c>
      <c r="K556" s="3" t="b">
        <f t="shared" si="3"/>
        <v>0</v>
      </c>
      <c r="L556" s="3">
        <v>500.0</v>
      </c>
      <c r="M556" s="6">
        <v>1.0</v>
      </c>
      <c r="N556" s="7">
        <v>1990.0</v>
      </c>
      <c r="O556" s="7">
        <f t="shared" si="49"/>
        <v>1990</v>
      </c>
    </row>
    <row r="557">
      <c r="A557" s="6">
        <v>2025.0</v>
      </c>
      <c r="B557" s="6" t="s">
        <v>163</v>
      </c>
      <c r="C557" s="1">
        <f t="shared" si="1"/>
        <v>8</v>
      </c>
      <c r="D557" s="2" t="s">
        <v>65</v>
      </c>
      <c r="E557" s="6">
        <f t="shared" si="2"/>
        <v>2</v>
      </c>
      <c r="F557" s="6" t="s">
        <v>17</v>
      </c>
      <c r="G557" s="6" t="s">
        <v>79</v>
      </c>
      <c r="H557" s="6" t="s">
        <v>96</v>
      </c>
      <c r="I557" s="6" t="s">
        <v>161</v>
      </c>
      <c r="K557" s="3" t="b">
        <f t="shared" si="3"/>
        <v>0</v>
      </c>
      <c r="L557" s="8"/>
      <c r="M557" s="6">
        <v>2.0</v>
      </c>
      <c r="N557" s="7">
        <v>2550.0</v>
      </c>
      <c r="O557" s="7">
        <f t="shared" si="49"/>
        <v>5100</v>
      </c>
    </row>
    <row r="558">
      <c r="A558" s="6">
        <v>2025.0</v>
      </c>
      <c r="B558" s="6" t="s">
        <v>163</v>
      </c>
      <c r="C558" s="1">
        <f t="shared" si="1"/>
        <v>8</v>
      </c>
      <c r="D558" s="2" t="s">
        <v>65</v>
      </c>
      <c r="E558" s="6">
        <f t="shared" si="2"/>
        <v>2</v>
      </c>
      <c r="F558" s="6" t="s">
        <v>17</v>
      </c>
      <c r="G558" s="6" t="s">
        <v>83</v>
      </c>
      <c r="H558" s="6" t="s">
        <v>89</v>
      </c>
      <c r="I558" s="6" t="s">
        <v>99</v>
      </c>
      <c r="K558" s="3" t="b">
        <f t="shared" si="3"/>
        <v>0</v>
      </c>
      <c r="L558" s="3">
        <v>500.0</v>
      </c>
      <c r="M558" s="6">
        <v>1.0</v>
      </c>
      <c r="N558" s="9">
        <v>2600.0</v>
      </c>
      <c r="O558" s="7">
        <f t="shared" si="49"/>
        <v>2600</v>
      </c>
    </row>
    <row r="559">
      <c r="A559" s="6">
        <v>2025.0</v>
      </c>
      <c r="B559" s="6" t="s">
        <v>163</v>
      </c>
      <c r="C559" s="1">
        <f t="shared" si="1"/>
        <v>8</v>
      </c>
      <c r="D559" s="2" t="s">
        <v>65</v>
      </c>
      <c r="E559" s="6">
        <f t="shared" si="2"/>
        <v>2</v>
      </c>
      <c r="F559" s="6" t="s">
        <v>17</v>
      </c>
      <c r="G559" s="6" t="s">
        <v>18</v>
      </c>
      <c r="H559" s="6" t="s">
        <v>37</v>
      </c>
      <c r="I559" s="6" t="s">
        <v>87</v>
      </c>
      <c r="K559" s="3" t="b">
        <f t="shared" si="3"/>
        <v>1</v>
      </c>
      <c r="L559" s="8"/>
      <c r="M559" s="6">
        <v>1.0</v>
      </c>
      <c r="N559" s="10">
        <v>4990.0</v>
      </c>
      <c r="O559" s="7">
        <f t="shared" si="49"/>
        <v>4990</v>
      </c>
    </row>
    <row r="560">
      <c r="A560" s="6">
        <v>2025.0</v>
      </c>
      <c r="B560" s="6" t="s">
        <v>163</v>
      </c>
      <c r="C560" s="1">
        <f t="shared" si="1"/>
        <v>8</v>
      </c>
      <c r="D560" s="2" t="s">
        <v>65</v>
      </c>
      <c r="E560" s="6">
        <f t="shared" si="2"/>
        <v>2</v>
      </c>
      <c r="F560" s="6" t="s">
        <v>17</v>
      </c>
      <c r="G560" s="6" t="s">
        <v>83</v>
      </c>
      <c r="H560" s="6" t="s">
        <v>89</v>
      </c>
      <c r="I560" s="6" t="s">
        <v>91</v>
      </c>
      <c r="K560" s="3" t="b">
        <f t="shared" si="3"/>
        <v>0</v>
      </c>
      <c r="L560" s="8"/>
      <c r="M560" s="6">
        <v>1.0</v>
      </c>
      <c r="N560" s="9">
        <v>4570.0</v>
      </c>
      <c r="O560" s="7">
        <f t="shared" si="49"/>
        <v>4570</v>
      </c>
    </row>
    <row r="561">
      <c r="A561" s="6">
        <v>2025.0</v>
      </c>
      <c r="B561" s="6" t="s">
        <v>163</v>
      </c>
      <c r="C561" s="1">
        <f t="shared" si="1"/>
        <v>8</v>
      </c>
      <c r="D561" s="2" t="s">
        <v>65</v>
      </c>
      <c r="E561" s="6">
        <f t="shared" si="2"/>
        <v>2</v>
      </c>
      <c r="F561" s="6" t="s">
        <v>17</v>
      </c>
      <c r="G561" s="6" t="s">
        <v>18</v>
      </c>
      <c r="H561" s="6" t="s">
        <v>85</v>
      </c>
      <c r="I561" s="6" t="s">
        <v>88</v>
      </c>
      <c r="K561" s="3" t="b">
        <f t="shared" si="3"/>
        <v>0</v>
      </c>
      <c r="L561" s="8"/>
      <c r="M561" s="6">
        <v>1.0</v>
      </c>
      <c r="N561" s="10">
        <v>1150.0</v>
      </c>
      <c r="O561" s="7">
        <f t="shared" si="49"/>
        <v>1150</v>
      </c>
    </row>
    <row r="562">
      <c r="A562" s="6">
        <v>2025.0</v>
      </c>
      <c r="B562" s="6" t="s">
        <v>163</v>
      </c>
      <c r="C562" s="1">
        <f t="shared" si="1"/>
        <v>8</v>
      </c>
      <c r="D562" s="2" t="s">
        <v>65</v>
      </c>
      <c r="E562" s="6">
        <f t="shared" si="2"/>
        <v>2</v>
      </c>
      <c r="F562" s="6" t="s">
        <v>17</v>
      </c>
      <c r="G562" s="6" t="s">
        <v>18</v>
      </c>
      <c r="H562" s="6" t="s">
        <v>37</v>
      </c>
      <c r="I562" s="6" t="s">
        <v>87</v>
      </c>
      <c r="K562" s="3" t="b">
        <f t="shared" si="3"/>
        <v>1</v>
      </c>
      <c r="L562" s="8"/>
      <c r="M562" s="6">
        <v>1.0</v>
      </c>
      <c r="N562" s="10">
        <v>7990.0</v>
      </c>
      <c r="O562" s="7">
        <f t="shared" si="49"/>
        <v>7990</v>
      </c>
    </row>
    <row r="563">
      <c r="A563" s="6">
        <v>2025.0</v>
      </c>
      <c r="B563" s="6" t="s">
        <v>163</v>
      </c>
      <c r="C563" s="1">
        <f t="shared" si="1"/>
        <v>8</v>
      </c>
      <c r="D563" s="2" t="s">
        <v>65</v>
      </c>
      <c r="E563" s="6">
        <f t="shared" si="2"/>
        <v>2</v>
      </c>
      <c r="F563" s="6" t="s">
        <v>17</v>
      </c>
      <c r="G563" s="6" t="s">
        <v>83</v>
      </c>
      <c r="H563" s="6" t="s">
        <v>89</v>
      </c>
      <c r="I563" s="6" t="s">
        <v>115</v>
      </c>
      <c r="K563" s="3" t="b">
        <f t="shared" si="3"/>
        <v>0</v>
      </c>
      <c r="L563" s="8"/>
      <c r="M563" s="6">
        <v>1.0</v>
      </c>
      <c r="N563" s="10">
        <v>4950.0</v>
      </c>
      <c r="O563" s="7">
        <f t="shared" si="49"/>
        <v>4950</v>
      </c>
    </row>
    <row r="564">
      <c r="A564" s="6">
        <v>2025.0</v>
      </c>
      <c r="B564" s="6" t="s">
        <v>163</v>
      </c>
      <c r="C564" s="1">
        <f t="shared" si="1"/>
        <v>8</v>
      </c>
      <c r="D564" s="2" t="s">
        <v>65</v>
      </c>
      <c r="E564" s="6">
        <f t="shared" si="2"/>
        <v>2</v>
      </c>
      <c r="F564" s="6" t="s">
        <v>17</v>
      </c>
      <c r="G564" s="6" t="s">
        <v>18</v>
      </c>
      <c r="H564" s="6" t="s">
        <v>27</v>
      </c>
      <c r="I564" s="6" t="s">
        <v>118</v>
      </c>
      <c r="K564" s="3" t="b">
        <f t="shared" si="3"/>
        <v>0</v>
      </c>
      <c r="L564" s="8"/>
      <c r="M564" s="6">
        <v>1.0</v>
      </c>
      <c r="N564" s="7">
        <v>1750.0</v>
      </c>
      <c r="O564" s="7">
        <f t="shared" si="49"/>
        <v>1750</v>
      </c>
    </row>
    <row r="565">
      <c r="A565" s="6">
        <v>2025.0</v>
      </c>
      <c r="B565" s="6" t="s">
        <v>163</v>
      </c>
      <c r="C565" s="1">
        <f t="shared" si="1"/>
        <v>8</v>
      </c>
      <c r="D565" s="2" t="s">
        <v>65</v>
      </c>
      <c r="E565" s="6">
        <f t="shared" si="2"/>
        <v>2</v>
      </c>
      <c r="F565" s="6" t="s">
        <v>17</v>
      </c>
      <c r="G565" s="6" t="s">
        <v>83</v>
      </c>
      <c r="H565" s="6" t="s">
        <v>80</v>
      </c>
      <c r="I565" s="6" t="s">
        <v>84</v>
      </c>
      <c r="K565" s="3" t="b">
        <f t="shared" si="3"/>
        <v>0</v>
      </c>
      <c r="L565" s="8"/>
      <c r="M565" s="6">
        <v>1.0</v>
      </c>
      <c r="N565" s="9">
        <v>2200.0</v>
      </c>
      <c r="O565" s="7">
        <f t="shared" si="49"/>
        <v>2200</v>
      </c>
    </row>
    <row r="566">
      <c r="A566" s="6">
        <v>2025.0</v>
      </c>
      <c r="B566" s="6" t="s">
        <v>163</v>
      </c>
      <c r="C566" s="1">
        <f t="shared" si="1"/>
        <v>8</v>
      </c>
      <c r="D566" s="2" t="s">
        <v>65</v>
      </c>
      <c r="E566" s="6">
        <f t="shared" si="2"/>
        <v>2</v>
      </c>
      <c r="F566" s="6" t="s">
        <v>17</v>
      </c>
      <c r="G566" s="6" t="s">
        <v>18</v>
      </c>
      <c r="H566" s="6" t="s">
        <v>94</v>
      </c>
      <c r="I566" s="6" t="s">
        <v>95</v>
      </c>
      <c r="K566" s="3" t="b">
        <f t="shared" si="3"/>
        <v>0</v>
      </c>
      <c r="L566" s="8"/>
      <c r="M566" s="6">
        <v>1.0</v>
      </c>
      <c r="N566" s="7">
        <v>4950.0</v>
      </c>
      <c r="O566" s="7">
        <f t="shared" si="49"/>
        <v>4950</v>
      </c>
    </row>
    <row r="567">
      <c r="A567" s="6">
        <v>2025.0</v>
      </c>
      <c r="B567" s="6" t="s">
        <v>163</v>
      </c>
      <c r="C567" s="1">
        <f t="shared" si="1"/>
        <v>8</v>
      </c>
      <c r="D567" s="2" t="s">
        <v>65</v>
      </c>
      <c r="E567" s="6">
        <f t="shared" si="2"/>
        <v>2</v>
      </c>
      <c r="F567" s="6" t="s">
        <v>17</v>
      </c>
      <c r="G567" s="6" t="s">
        <v>18</v>
      </c>
      <c r="H567" s="6" t="s">
        <v>37</v>
      </c>
      <c r="I567" s="6" t="s">
        <v>98</v>
      </c>
      <c r="K567" s="3" t="b">
        <f t="shared" si="3"/>
        <v>0</v>
      </c>
      <c r="L567" s="8"/>
      <c r="M567" s="6">
        <v>1.0</v>
      </c>
      <c r="N567" s="9">
        <v>8700.0</v>
      </c>
      <c r="O567" s="7">
        <f t="shared" si="49"/>
        <v>8700</v>
      </c>
    </row>
    <row r="568">
      <c r="A568" s="6">
        <v>2025.0</v>
      </c>
      <c r="B568" s="6" t="s">
        <v>163</v>
      </c>
      <c r="C568" s="1">
        <f t="shared" si="1"/>
        <v>8</v>
      </c>
      <c r="D568" s="2" t="s">
        <v>65</v>
      </c>
      <c r="E568" s="6">
        <f t="shared" si="2"/>
        <v>2</v>
      </c>
      <c r="F568" s="6" t="s">
        <v>17</v>
      </c>
      <c r="G568" s="6" t="s">
        <v>18</v>
      </c>
      <c r="H568" s="6" t="s">
        <v>85</v>
      </c>
      <c r="I568" s="6" t="s">
        <v>146</v>
      </c>
      <c r="K568" s="3" t="b">
        <f t="shared" si="3"/>
        <v>0</v>
      </c>
      <c r="L568" s="8"/>
      <c r="M568" s="6">
        <v>1.0</v>
      </c>
      <c r="N568" s="10">
        <v>1150.0</v>
      </c>
      <c r="O568" s="7">
        <f t="shared" si="49"/>
        <v>1150</v>
      </c>
    </row>
    <row r="569">
      <c r="A569" s="6">
        <v>2025.0</v>
      </c>
      <c r="B569" s="6" t="s">
        <v>163</v>
      </c>
      <c r="C569" s="1">
        <f t="shared" si="1"/>
        <v>8</v>
      </c>
      <c r="D569" s="2" t="s">
        <v>65</v>
      </c>
      <c r="E569" s="6">
        <f t="shared" si="2"/>
        <v>2</v>
      </c>
      <c r="F569" s="6" t="s">
        <v>17</v>
      </c>
      <c r="G569" s="6" t="s">
        <v>18</v>
      </c>
      <c r="H569" s="6" t="s">
        <v>27</v>
      </c>
      <c r="I569" s="6" t="s">
        <v>100</v>
      </c>
      <c r="K569" s="3" t="b">
        <f t="shared" si="3"/>
        <v>0</v>
      </c>
      <c r="L569" s="8"/>
      <c r="M569" s="6">
        <v>1.0</v>
      </c>
      <c r="N569" s="9">
        <v>3790.0</v>
      </c>
      <c r="O569" s="7">
        <f t="shared" si="49"/>
        <v>3790</v>
      </c>
    </row>
    <row r="570">
      <c r="A570" s="6">
        <v>2025.0</v>
      </c>
      <c r="B570" s="6" t="s">
        <v>163</v>
      </c>
      <c r="C570" s="1">
        <f t="shared" si="1"/>
        <v>8</v>
      </c>
      <c r="D570" s="2" t="s">
        <v>65</v>
      </c>
      <c r="E570" s="6">
        <f t="shared" si="2"/>
        <v>2</v>
      </c>
      <c r="F570" s="6" t="s">
        <v>17</v>
      </c>
      <c r="G570" s="6" t="s">
        <v>18</v>
      </c>
      <c r="H570" s="6" t="s">
        <v>19</v>
      </c>
      <c r="I570" s="6" t="s">
        <v>104</v>
      </c>
      <c r="K570" s="3" t="b">
        <f t="shared" si="3"/>
        <v>0</v>
      </c>
      <c r="L570" s="8"/>
      <c r="M570" s="6">
        <v>1.0</v>
      </c>
      <c r="N570" s="7">
        <v>7990.0</v>
      </c>
      <c r="O570" s="7">
        <f t="shared" si="49"/>
        <v>7990</v>
      </c>
    </row>
    <row r="571">
      <c r="A571" s="6">
        <v>2025.0</v>
      </c>
      <c r="B571" s="6" t="s">
        <v>163</v>
      </c>
      <c r="C571" s="1">
        <f t="shared" si="1"/>
        <v>8</v>
      </c>
      <c r="D571" s="2" t="s">
        <v>65</v>
      </c>
      <c r="E571" s="6">
        <f t="shared" si="2"/>
        <v>2</v>
      </c>
      <c r="F571" s="6" t="s">
        <v>30</v>
      </c>
      <c r="G571" s="6" t="s">
        <v>18</v>
      </c>
      <c r="H571" s="6" t="s">
        <v>49</v>
      </c>
      <c r="I571" s="6" t="s">
        <v>71</v>
      </c>
      <c r="K571" s="3" t="b">
        <f t="shared" si="3"/>
        <v>0</v>
      </c>
      <c r="L571" s="3">
        <v>688.0</v>
      </c>
      <c r="N571" s="7">
        <v>4900.0</v>
      </c>
      <c r="O571" s="7">
        <f t="shared" ref="O571:O574" si="50">N571*L571/1000</f>
        <v>3371.2</v>
      </c>
    </row>
    <row r="572">
      <c r="A572" s="6">
        <v>2025.0</v>
      </c>
      <c r="B572" s="6" t="s">
        <v>163</v>
      </c>
      <c r="C572" s="1">
        <f t="shared" si="1"/>
        <v>8</v>
      </c>
      <c r="D572" s="2" t="s">
        <v>65</v>
      </c>
      <c r="E572" s="6">
        <f t="shared" si="2"/>
        <v>2</v>
      </c>
      <c r="F572" s="6" t="s">
        <v>30</v>
      </c>
      <c r="G572" s="6" t="s">
        <v>18</v>
      </c>
      <c r="H572" s="6" t="s">
        <v>49</v>
      </c>
      <c r="I572" s="6" t="s">
        <v>153</v>
      </c>
      <c r="K572" s="3" t="b">
        <f t="shared" si="3"/>
        <v>0</v>
      </c>
      <c r="L572" s="3">
        <v>508.0</v>
      </c>
      <c r="N572" s="7">
        <v>4780.0</v>
      </c>
      <c r="O572" s="7">
        <f t="shared" si="50"/>
        <v>2428.24</v>
      </c>
    </row>
    <row r="573">
      <c r="A573" s="6">
        <v>2025.0</v>
      </c>
      <c r="B573" s="6" t="s">
        <v>163</v>
      </c>
      <c r="C573" s="1">
        <f t="shared" si="1"/>
        <v>8</v>
      </c>
      <c r="D573" s="2" t="s">
        <v>65</v>
      </c>
      <c r="E573" s="6">
        <f t="shared" si="2"/>
        <v>2</v>
      </c>
      <c r="F573" s="6" t="s">
        <v>30</v>
      </c>
      <c r="G573" s="6" t="s">
        <v>18</v>
      </c>
      <c r="H573" s="6" t="s">
        <v>49</v>
      </c>
      <c r="I573" s="6" t="s">
        <v>57</v>
      </c>
      <c r="K573" s="3" t="b">
        <f t="shared" si="3"/>
        <v>0</v>
      </c>
      <c r="L573" s="3">
        <v>1506.0</v>
      </c>
      <c r="N573" s="7">
        <v>3500.0</v>
      </c>
      <c r="O573" s="7">
        <f t="shared" si="50"/>
        <v>5271</v>
      </c>
    </row>
    <row r="574">
      <c r="A574" s="6">
        <v>2025.0</v>
      </c>
      <c r="B574" s="6" t="s">
        <v>163</v>
      </c>
      <c r="C574" s="1">
        <f t="shared" si="1"/>
        <v>8</v>
      </c>
      <c r="D574" s="2" t="s">
        <v>65</v>
      </c>
      <c r="E574" s="6">
        <f t="shared" si="2"/>
        <v>2</v>
      </c>
      <c r="F574" s="6" t="s">
        <v>30</v>
      </c>
      <c r="G574" s="6" t="s">
        <v>18</v>
      </c>
      <c r="H574" s="6" t="s">
        <v>49</v>
      </c>
      <c r="I574" s="6" t="s">
        <v>58</v>
      </c>
      <c r="K574" s="3" t="b">
        <f t="shared" si="3"/>
        <v>0</v>
      </c>
      <c r="L574" s="3">
        <v>1140.0</v>
      </c>
      <c r="N574" s="7">
        <v>4180.0</v>
      </c>
      <c r="O574" s="7">
        <f t="shared" si="50"/>
        <v>4765.2</v>
      </c>
    </row>
    <row r="575">
      <c r="A575" s="6">
        <v>2025.0</v>
      </c>
      <c r="B575" s="6" t="s">
        <v>163</v>
      </c>
      <c r="C575" s="1">
        <f t="shared" si="1"/>
        <v>8</v>
      </c>
      <c r="D575" s="2" t="s">
        <v>65</v>
      </c>
      <c r="E575" s="6">
        <f t="shared" si="2"/>
        <v>2</v>
      </c>
      <c r="F575" s="6" t="s">
        <v>30</v>
      </c>
      <c r="G575" s="6" t="s">
        <v>18</v>
      </c>
      <c r="H575" s="6" t="s">
        <v>19</v>
      </c>
      <c r="I575" s="6" t="s">
        <v>144</v>
      </c>
      <c r="K575" s="3" t="b">
        <f t="shared" si="3"/>
        <v>0</v>
      </c>
      <c r="L575" s="3">
        <v>1000.0</v>
      </c>
      <c r="M575" s="6">
        <v>1.0</v>
      </c>
      <c r="N575" s="7">
        <v>20990.0</v>
      </c>
      <c r="O575" s="7">
        <f t="shared" ref="O575:O585" si="51">N575*M575</f>
        <v>20990</v>
      </c>
    </row>
    <row r="576">
      <c r="A576" s="6">
        <v>2025.0</v>
      </c>
      <c r="B576" s="6" t="s">
        <v>163</v>
      </c>
      <c r="C576" s="1">
        <f t="shared" si="1"/>
        <v>8</v>
      </c>
      <c r="D576" s="2" t="s">
        <v>65</v>
      </c>
      <c r="E576" s="6">
        <f t="shared" si="2"/>
        <v>2</v>
      </c>
      <c r="F576" s="6" t="s">
        <v>30</v>
      </c>
      <c r="G576" s="6" t="s">
        <v>18</v>
      </c>
      <c r="H576" s="6" t="s">
        <v>27</v>
      </c>
      <c r="I576" s="6" t="s">
        <v>40</v>
      </c>
      <c r="K576" s="3" t="b">
        <f t="shared" si="3"/>
        <v>0</v>
      </c>
      <c r="L576" s="3">
        <v>2500.0</v>
      </c>
      <c r="M576" s="6">
        <v>1.0</v>
      </c>
      <c r="N576" s="7">
        <v>8450.0</v>
      </c>
      <c r="O576" s="7">
        <f t="shared" si="51"/>
        <v>8450</v>
      </c>
    </row>
    <row r="577">
      <c r="A577" s="6">
        <v>2025.0</v>
      </c>
      <c r="B577" s="6" t="s">
        <v>163</v>
      </c>
      <c r="C577" s="1">
        <f t="shared" si="1"/>
        <v>8</v>
      </c>
      <c r="D577" s="2" t="s">
        <v>65</v>
      </c>
      <c r="E577" s="6">
        <f t="shared" si="2"/>
        <v>2</v>
      </c>
      <c r="F577" s="6" t="s">
        <v>30</v>
      </c>
      <c r="G577" s="6" t="s">
        <v>18</v>
      </c>
      <c r="H577" s="6" t="s">
        <v>27</v>
      </c>
      <c r="I577" s="6" t="s">
        <v>110</v>
      </c>
      <c r="K577" s="3" t="b">
        <f t="shared" si="3"/>
        <v>0</v>
      </c>
      <c r="L577" s="3">
        <v>1000.0</v>
      </c>
      <c r="M577" s="6">
        <v>1.0</v>
      </c>
      <c r="N577" s="7">
        <v>2650.0</v>
      </c>
      <c r="O577" s="7">
        <f t="shared" si="51"/>
        <v>2650</v>
      </c>
    </row>
    <row r="578">
      <c r="A578" s="6">
        <v>2025.0</v>
      </c>
      <c r="B578" s="6" t="s">
        <v>163</v>
      </c>
      <c r="C578" s="1">
        <f t="shared" si="1"/>
        <v>8</v>
      </c>
      <c r="D578" s="2" t="s">
        <v>65</v>
      </c>
      <c r="E578" s="6">
        <f t="shared" si="2"/>
        <v>2</v>
      </c>
      <c r="F578" s="6" t="s">
        <v>30</v>
      </c>
      <c r="G578" s="6" t="s">
        <v>18</v>
      </c>
      <c r="H578" s="6" t="s">
        <v>92</v>
      </c>
      <c r="I578" s="6" t="s">
        <v>122</v>
      </c>
      <c r="K578" s="3" t="b">
        <f t="shared" si="3"/>
        <v>0</v>
      </c>
      <c r="L578" s="3">
        <v>500.0</v>
      </c>
      <c r="M578" s="6">
        <v>2.0</v>
      </c>
      <c r="N578" s="7">
        <v>1500.0</v>
      </c>
      <c r="O578" s="7">
        <f t="shared" si="51"/>
        <v>3000</v>
      </c>
    </row>
    <row r="579">
      <c r="A579" s="6">
        <v>2025.0</v>
      </c>
      <c r="B579" s="6" t="s">
        <v>163</v>
      </c>
      <c r="C579" s="1">
        <f t="shared" si="1"/>
        <v>8</v>
      </c>
      <c r="D579" s="2" t="s">
        <v>65</v>
      </c>
      <c r="E579" s="6">
        <f t="shared" si="2"/>
        <v>2</v>
      </c>
      <c r="F579" s="6" t="s">
        <v>30</v>
      </c>
      <c r="G579" s="6" t="s">
        <v>18</v>
      </c>
      <c r="H579" s="6" t="s">
        <v>52</v>
      </c>
      <c r="I579" s="6" t="s">
        <v>54</v>
      </c>
      <c r="K579" s="3" t="b">
        <f t="shared" si="3"/>
        <v>0</v>
      </c>
      <c r="L579" s="3">
        <v>500.0</v>
      </c>
      <c r="M579" s="6">
        <v>1.0</v>
      </c>
      <c r="N579" s="7">
        <v>4290.0</v>
      </c>
      <c r="O579" s="7">
        <f t="shared" si="51"/>
        <v>4290</v>
      </c>
    </row>
    <row r="580">
      <c r="A580" s="6">
        <v>2025.0</v>
      </c>
      <c r="B580" s="6" t="s">
        <v>163</v>
      </c>
      <c r="C580" s="1">
        <f t="shared" si="1"/>
        <v>8</v>
      </c>
      <c r="D580" s="2" t="s">
        <v>65</v>
      </c>
      <c r="E580" s="6">
        <f t="shared" si="2"/>
        <v>2</v>
      </c>
      <c r="F580" s="6" t="s">
        <v>30</v>
      </c>
      <c r="G580" s="6" t="s">
        <v>18</v>
      </c>
      <c r="H580" s="6" t="s">
        <v>24</v>
      </c>
      <c r="I580" s="6" t="s">
        <v>42</v>
      </c>
      <c r="K580" s="3" t="b">
        <f t="shared" si="3"/>
        <v>0</v>
      </c>
      <c r="L580" s="3">
        <v>400.0</v>
      </c>
      <c r="M580" s="6">
        <v>1.0</v>
      </c>
      <c r="N580" s="7">
        <v>18900.0</v>
      </c>
      <c r="O580" s="7">
        <f t="shared" si="51"/>
        <v>18900</v>
      </c>
    </row>
    <row r="581">
      <c r="A581" s="6">
        <v>2025.0</v>
      </c>
      <c r="B581" s="6" t="s">
        <v>163</v>
      </c>
      <c r="C581" s="1">
        <f t="shared" si="1"/>
        <v>8</v>
      </c>
      <c r="D581" s="2" t="s">
        <v>65</v>
      </c>
      <c r="E581" s="6">
        <f t="shared" si="2"/>
        <v>2</v>
      </c>
      <c r="F581" s="6" t="s">
        <v>30</v>
      </c>
      <c r="G581" s="6" t="s">
        <v>18</v>
      </c>
      <c r="H581" s="6" t="s">
        <v>52</v>
      </c>
      <c r="I581" s="6" t="s">
        <v>130</v>
      </c>
      <c r="K581" s="3" t="b">
        <f t="shared" si="3"/>
        <v>0</v>
      </c>
      <c r="L581" s="3">
        <v>500.0</v>
      </c>
      <c r="M581" s="6">
        <v>1.0</v>
      </c>
      <c r="N581" s="7">
        <v>2800.0</v>
      </c>
      <c r="O581" s="7">
        <f t="shared" si="51"/>
        <v>2800</v>
      </c>
    </row>
    <row r="582">
      <c r="A582" s="6">
        <v>2025.0</v>
      </c>
      <c r="B582" s="6" t="s">
        <v>163</v>
      </c>
      <c r="C582" s="1">
        <f t="shared" si="1"/>
        <v>8</v>
      </c>
      <c r="D582" s="2" t="s">
        <v>65</v>
      </c>
      <c r="E582" s="6">
        <f t="shared" si="2"/>
        <v>2</v>
      </c>
      <c r="F582" s="6" t="s">
        <v>30</v>
      </c>
      <c r="G582" s="6" t="s">
        <v>18</v>
      </c>
      <c r="H582" s="6" t="s">
        <v>27</v>
      </c>
      <c r="I582" s="6" t="s">
        <v>164</v>
      </c>
      <c r="K582" s="3" t="b">
        <f t="shared" si="3"/>
        <v>0</v>
      </c>
      <c r="L582" s="3">
        <v>28.0</v>
      </c>
      <c r="M582" s="6">
        <v>1.0</v>
      </c>
      <c r="N582" s="7">
        <v>1550.0</v>
      </c>
      <c r="O582" s="7">
        <f t="shared" si="51"/>
        <v>1550</v>
      </c>
    </row>
    <row r="583">
      <c r="A583" s="6">
        <v>2025.0</v>
      </c>
      <c r="B583" s="6" t="s">
        <v>163</v>
      </c>
      <c r="C583" s="1">
        <f t="shared" si="1"/>
        <v>8</v>
      </c>
      <c r="D583" s="2" t="s">
        <v>65</v>
      </c>
      <c r="E583" s="6">
        <f t="shared" si="2"/>
        <v>2</v>
      </c>
      <c r="F583" s="6" t="s">
        <v>30</v>
      </c>
      <c r="G583" s="6" t="s">
        <v>18</v>
      </c>
      <c r="H583" s="6" t="s">
        <v>37</v>
      </c>
      <c r="I583" s="6" t="s">
        <v>38</v>
      </c>
      <c r="K583" s="3" t="b">
        <f t="shared" si="3"/>
        <v>0</v>
      </c>
      <c r="L583" s="3">
        <v>160.0</v>
      </c>
      <c r="M583" s="6">
        <v>1.0</v>
      </c>
      <c r="N583" s="7">
        <v>4990.0</v>
      </c>
      <c r="O583" s="7">
        <f t="shared" si="51"/>
        <v>4990</v>
      </c>
    </row>
    <row r="584">
      <c r="A584" s="6">
        <v>2025.0</v>
      </c>
      <c r="B584" s="6" t="s">
        <v>163</v>
      </c>
      <c r="C584" s="1">
        <f t="shared" si="1"/>
        <v>8</v>
      </c>
      <c r="D584" s="2" t="s">
        <v>65</v>
      </c>
      <c r="E584" s="6">
        <f t="shared" si="2"/>
        <v>2</v>
      </c>
      <c r="F584" s="6" t="s">
        <v>30</v>
      </c>
      <c r="G584" s="6" t="s">
        <v>18</v>
      </c>
      <c r="H584" s="6" t="s">
        <v>31</v>
      </c>
      <c r="I584" s="6" t="s">
        <v>32</v>
      </c>
      <c r="K584" s="3" t="b">
        <f t="shared" si="3"/>
        <v>0</v>
      </c>
      <c r="L584" s="3">
        <v>900.0</v>
      </c>
      <c r="M584" s="6">
        <v>1.0</v>
      </c>
      <c r="N584" s="7">
        <v>7200.0</v>
      </c>
      <c r="O584" s="7">
        <f t="shared" si="51"/>
        <v>7200</v>
      </c>
    </row>
    <row r="585">
      <c r="A585" s="6">
        <v>2025.0</v>
      </c>
      <c r="B585" s="6" t="s">
        <v>163</v>
      </c>
      <c r="C585" s="1">
        <f t="shared" si="1"/>
        <v>8</v>
      </c>
      <c r="D585" s="2" t="s">
        <v>65</v>
      </c>
      <c r="E585" s="6">
        <f t="shared" si="2"/>
        <v>2</v>
      </c>
      <c r="F585" s="6" t="s">
        <v>30</v>
      </c>
      <c r="G585" s="6" t="s">
        <v>18</v>
      </c>
      <c r="H585" s="6" t="s">
        <v>76</v>
      </c>
      <c r="I585" s="6" t="s">
        <v>77</v>
      </c>
      <c r="K585" s="3" t="b">
        <f t="shared" si="3"/>
        <v>0</v>
      </c>
      <c r="L585" s="3">
        <v>650.0</v>
      </c>
      <c r="M585" s="6">
        <v>1.0</v>
      </c>
      <c r="N585" s="7">
        <v>9450.0</v>
      </c>
      <c r="O585" s="7">
        <f t="shared" si="51"/>
        <v>9450</v>
      </c>
    </row>
    <row r="586">
      <c r="A586" s="6">
        <v>2025.0</v>
      </c>
      <c r="B586" s="6" t="s">
        <v>163</v>
      </c>
      <c r="C586" s="1">
        <f t="shared" si="1"/>
        <v>8</v>
      </c>
      <c r="D586" s="2" t="s">
        <v>65</v>
      </c>
      <c r="E586" s="6">
        <f t="shared" si="2"/>
        <v>2</v>
      </c>
      <c r="F586" s="6" t="s">
        <v>30</v>
      </c>
      <c r="G586" s="6" t="s">
        <v>18</v>
      </c>
      <c r="H586" s="6" t="s">
        <v>37</v>
      </c>
      <c r="I586" s="6" t="s">
        <v>47</v>
      </c>
      <c r="K586" s="3" t="b">
        <f t="shared" si="3"/>
        <v>0</v>
      </c>
      <c r="L586" s="3">
        <v>968.0</v>
      </c>
      <c r="N586" s="7">
        <v>32980.0</v>
      </c>
      <c r="O586" s="7">
        <f t="shared" ref="O586:O598" si="52">N586*L586/1000</f>
        <v>31924.64</v>
      </c>
    </row>
    <row r="587">
      <c r="A587" s="6">
        <v>2025.0</v>
      </c>
      <c r="B587" s="6" t="s">
        <v>163</v>
      </c>
      <c r="C587" s="1">
        <f t="shared" si="1"/>
        <v>8</v>
      </c>
      <c r="D587" s="2" t="s">
        <v>65</v>
      </c>
      <c r="E587" s="6">
        <f t="shared" si="2"/>
        <v>2</v>
      </c>
      <c r="F587" s="6" t="s">
        <v>30</v>
      </c>
      <c r="G587" s="6" t="s">
        <v>18</v>
      </c>
      <c r="H587" s="6" t="s">
        <v>37</v>
      </c>
      <c r="I587" s="6" t="s">
        <v>67</v>
      </c>
      <c r="K587" s="3" t="b">
        <f t="shared" si="3"/>
        <v>0</v>
      </c>
      <c r="L587" s="3">
        <v>1114.0</v>
      </c>
      <c r="N587" s="7">
        <v>15980.0</v>
      </c>
      <c r="O587" s="7">
        <f t="shared" si="52"/>
        <v>17801.72</v>
      </c>
    </row>
    <row r="588">
      <c r="A588" s="6">
        <v>2025.0</v>
      </c>
      <c r="B588" s="6" t="s">
        <v>163</v>
      </c>
      <c r="C588" s="1">
        <f t="shared" si="1"/>
        <v>8</v>
      </c>
      <c r="D588" s="2" t="s">
        <v>65</v>
      </c>
      <c r="E588" s="6">
        <f t="shared" si="2"/>
        <v>2</v>
      </c>
      <c r="F588" s="6" t="s">
        <v>30</v>
      </c>
      <c r="G588" s="6" t="s">
        <v>18</v>
      </c>
      <c r="H588" s="6" t="s">
        <v>37</v>
      </c>
      <c r="I588" s="6" t="s">
        <v>68</v>
      </c>
      <c r="K588" s="3" t="b">
        <f t="shared" si="3"/>
        <v>0</v>
      </c>
      <c r="L588" s="3">
        <v>1962.0</v>
      </c>
      <c r="N588" s="7">
        <v>26980.0</v>
      </c>
      <c r="O588" s="7">
        <f t="shared" si="52"/>
        <v>52934.76</v>
      </c>
    </row>
    <row r="589">
      <c r="A589" s="6">
        <v>2025.0</v>
      </c>
      <c r="B589" s="6" t="s">
        <v>163</v>
      </c>
      <c r="C589" s="1">
        <f t="shared" si="1"/>
        <v>8</v>
      </c>
      <c r="D589" s="2" t="s">
        <v>65</v>
      </c>
      <c r="E589" s="6">
        <f t="shared" si="2"/>
        <v>2</v>
      </c>
      <c r="F589" s="6" t="s">
        <v>30</v>
      </c>
      <c r="G589" s="6" t="s">
        <v>18</v>
      </c>
      <c r="H589" s="6" t="s">
        <v>37</v>
      </c>
      <c r="I589" s="6" t="s">
        <v>45</v>
      </c>
      <c r="K589" s="3" t="b">
        <f t="shared" si="3"/>
        <v>0</v>
      </c>
      <c r="L589" s="3">
        <v>768.0</v>
      </c>
      <c r="N589" s="7">
        <v>15980.0</v>
      </c>
      <c r="O589" s="7">
        <f t="shared" si="52"/>
        <v>12272.64</v>
      </c>
    </row>
    <row r="590">
      <c r="A590" s="6">
        <v>2025.0</v>
      </c>
      <c r="B590" s="6" t="s">
        <v>163</v>
      </c>
      <c r="C590" s="1">
        <f t="shared" si="1"/>
        <v>8</v>
      </c>
      <c r="D590" s="2" t="s">
        <v>65</v>
      </c>
      <c r="E590" s="6">
        <f t="shared" si="2"/>
        <v>2</v>
      </c>
      <c r="F590" s="6" t="s">
        <v>30</v>
      </c>
      <c r="G590" s="6" t="s">
        <v>18</v>
      </c>
      <c r="H590" s="6" t="s">
        <v>37</v>
      </c>
      <c r="I590" s="6" t="s">
        <v>60</v>
      </c>
      <c r="K590" s="3" t="b">
        <f t="shared" si="3"/>
        <v>0</v>
      </c>
      <c r="L590" s="3">
        <v>5150.0</v>
      </c>
      <c r="N590" s="7">
        <v>8780.0</v>
      </c>
      <c r="O590" s="7">
        <f t="shared" si="52"/>
        <v>45217</v>
      </c>
    </row>
    <row r="591">
      <c r="A591" s="6">
        <v>2025.0</v>
      </c>
      <c r="B591" s="6" t="s">
        <v>163</v>
      </c>
      <c r="C591" s="1">
        <f t="shared" si="1"/>
        <v>8</v>
      </c>
      <c r="D591" s="2" t="s">
        <v>65</v>
      </c>
      <c r="E591" s="6">
        <f t="shared" si="2"/>
        <v>2</v>
      </c>
      <c r="F591" s="6" t="s">
        <v>30</v>
      </c>
      <c r="G591" s="6" t="s">
        <v>18</v>
      </c>
      <c r="H591" s="6" t="s">
        <v>49</v>
      </c>
      <c r="I591" s="6" t="s">
        <v>74</v>
      </c>
      <c r="K591" s="3" t="b">
        <f t="shared" si="3"/>
        <v>0</v>
      </c>
      <c r="L591" s="3">
        <v>2460.0</v>
      </c>
      <c r="N591" s="7">
        <v>1180.0</v>
      </c>
      <c r="O591" s="7">
        <f t="shared" si="52"/>
        <v>2902.8</v>
      </c>
    </row>
    <row r="592">
      <c r="A592" s="6">
        <v>2025.0</v>
      </c>
      <c r="B592" s="6" t="s">
        <v>163</v>
      </c>
      <c r="C592" s="1">
        <f t="shared" si="1"/>
        <v>8</v>
      </c>
      <c r="D592" s="2" t="s">
        <v>65</v>
      </c>
      <c r="E592" s="6">
        <f t="shared" si="2"/>
        <v>2</v>
      </c>
      <c r="F592" s="6" t="s">
        <v>30</v>
      </c>
      <c r="G592" s="6" t="s">
        <v>18</v>
      </c>
      <c r="H592" s="6" t="s">
        <v>49</v>
      </c>
      <c r="I592" s="6" t="s">
        <v>50</v>
      </c>
      <c r="K592" s="3" t="b">
        <f t="shared" si="3"/>
        <v>0</v>
      </c>
      <c r="L592" s="3">
        <v>3472.0</v>
      </c>
      <c r="N592" s="7">
        <v>2700.0</v>
      </c>
      <c r="O592" s="7">
        <f t="shared" si="52"/>
        <v>9374.4</v>
      </c>
    </row>
    <row r="593">
      <c r="A593" s="6">
        <v>2025.0</v>
      </c>
      <c r="B593" s="6" t="s">
        <v>163</v>
      </c>
      <c r="C593" s="1">
        <f t="shared" si="1"/>
        <v>8</v>
      </c>
      <c r="D593" s="2" t="s">
        <v>65</v>
      </c>
      <c r="E593" s="6">
        <f t="shared" si="2"/>
        <v>2</v>
      </c>
      <c r="F593" s="6" t="s">
        <v>30</v>
      </c>
      <c r="G593" s="6" t="s">
        <v>18</v>
      </c>
      <c r="H593" s="6" t="s">
        <v>33</v>
      </c>
      <c r="I593" s="6" t="s">
        <v>59</v>
      </c>
      <c r="K593" s="3" t="b">
        <f t="shared" si="3"/>
        <v>0</v>
      </c>
      <c r="L593" s="3">
        <v>1226.0</v>
      </c>
      <c r="N593" s="7">
        <v>2580.0</v>
      </c>
      <c r="O593" s="7">
        <f t="shared" si="52"/>
        <v>3163.08</v>
      </c>
    </row>
    <row r="594">
      <c r="A594" s="6">
        <v>2025.0</v>
      </c>
      <c r="B594" s="6" t="s">
        <v>163</v>
      </c>
      <c r="C594" s="1">
        <f t="shared" si="1"/>
        <v>8</v>
      </c>
      <c r="D594" s="2" t="s">
        <v>65</v>
      </c>
      <c r="E594" s="6">
        <f t="shared" si="2"/>
        <v>2</v>
      </c>
      <c r="F594" s="6" t="s">
        <v>30</v>
      </c>
      <c r="G594" s="6" t="s">
        <v>18</v>
      </c>
      <c r="H594" s="6" t="s">
        <v>49</v>
      </c>
      <c r="I594" s="6" t="s">
        <v>142</v>
      </c>
      <c r="K594" s="3" t="b">
        <f t="shared" si="3"/>
        <v>0</v>
      </c>
      <c r="L594" s="3">
        <v>228.0</v>
      </c>
      <c r="N594" s="7">
        <v>4700.0</v>
      </c>
      <c r="O594" s="7">
        <f t="shared" si="52"/>
        <v>1071.6</v>
      </c>
    </row>
    <row r="595">
      <c r="A595" s="6">
        <v>2025.0</v>
      </c>
      <c r="B595" s="6" t="s">
        <v>163</v>
      </c>
      <c r="C595" s="1">
        <f t="shared" si="1"/>
        <v>8</v>
      </c>
      <c r="D595" s="2" t="s">
        <v>65</v>
      </c>
      <c r="E595" s="6">
        <f t="shared" si="2"/>
        <v>2</v>
      </c>
      <c r="F595" s="6" t="s">
        <v>30</v>
      </c>
      <c r="G595" s="6" t="s">
        <v>18</v>
      </c>
      <c r="H595" s="6" t="s">
        <v>33</v>
      </c>
      <c r="I595" s="6" t="s">
        <v>56</v>
      </c>
      <c r="K595" s="3" t="b">
        <f t="shared" si="3"/>
        <v>0</v>
      </c>
      <c r="L595" s="3">
        <v>936.0</v>
      </c>
      <c r="N595" s="7">
        <v>3580.0</v>
      </c>
      <c r="O595" s="7">
        <f t="shared" si="52"/>
        <v>3350.88</v>
      </c>
    </row>
    <row r="596">
      <c r="A596" s="6">
        <v>2025.0</v>
      </c>
      <c r="B596" s="6" t="s">
        <v>163</v>
      </c>
      <c r="C596" s="1">
        <f t="shared" si="1"/>
        <v>8</v>
      </c>
      <c r="D596" s="2" t="s">
        <v>65</v>
      </c>
      <c r="E596" s="6">
        <f t="shared" si="2"/>
        <v>2</v>
      </c>
      <c r="F596" s="6" t="s">
        <v>30</v>
      </c>
      <c r="G596" s="6" t="s">
        <v>18</v>
      </c>
      <c r="H596" s="6" t="s">
        <v>49</v>
      </c>
      <c r="I596" s="6" t="s">
        <v>62</v>
      </c>
      <c r="K596" s="3" t="b">
        <f t="shared" si="3"/>
        <v>0</v>
      </c>
      <c r="L596" s="3">
        <v>3716.0</v>
      </c>
      <c r="N596" s="7">
        <v>5500.0</v>
      </c>
      <c r="O596" s="7">
        <f t="shared" si="52"/>
        <v>20438</v>
      </c>
    </row>
    <row r="597">
      <c r="A597" s="6">
        <v>2025.0</v>
      </c>
      <c r="B597" s="6" t="s">
        <v>163</v>
      </c>
      <c r="C597" s="1">
        <f t="shared" si="1"/>
        <v>8</v>
      </c>
      <c r="D597" s="2" t="s">
        <v>65</v>
      </c>
      <c r="E597" s="6">
        <f t="shared" si="2"/>
        <v>2</v>
      </c>
      <c r="F597" s="6" t="s">
        <v>30</v>
      </c>
      <c r="G597" s="6" t="s">
        <v>18</v>
      </c>
      <c r="H597" s="6" t="s">
        <v>33</v>
      </c>
      <c r="I597" s="6" t="s">
        <v>70</v>
      </c>
      <c r="K597" s="3" t="b">
        <f t="shared" si="3"/>
        <v>0</v>
      </c>
      <c r="L597" s="3">
        <v>2004.0</v>
      </c>
      <c r="N597" s="7">
        <v>2380.0</v>
      </c>
      <c r="O597" s="7">
        <f t="shared" si="52"/>
        <v>4769.52</v>
      </c>
    </row>
    <row r="598">
      <c r="A598" s="6">
        <v>2025.0</v>
      </c>
      <c r="B598" s="6" t="s">
        <v>163</v>
      </c>
      <c r="C598" s="1">
        <f t="shared" si="1"/>
        <v>8</v>
      </c>
      <c r="D598" s="2" t="s">
        <v>65</v>
      </c>
      <c r="E598" s="6">
        <f t="shared" si="2"/>
        <v>2</v>
      </c>
      <c r="F598" s="6" t="s">
        <v>30</v>
      </c>
      <c r="G598" s="6" t="s">
        <v>18</v>
      </c>
      <c r="H598" s="6" t="s">
        <v>49</v>
      </c>
      <c r="I598" s="6" t="s">
        <v>63</v>
      </c>
      <c r="K598" s="3" t="b">
        <f t="shared" si="3"/>
        <v>0</v>
      </c>
      <c r="L598" s="3">
        <v>1122.0</v>
      </c>
      <c r="N598" s="7">
        <v>5380.0</v>
      </c>
      <c r="O598" s="7">
        <f t="shared" si="52"/>
        <v>6036.36</v>
      </c>
    </row>
    <row r="599">
      <c r="A599" s="6">
        <v>2025.0</v>
      </c>
      <c r="B599" s="6" t="s">
        <v>166</v>
      </c>
      <c r="C599" s="1">
        <f t="shared" si="1"/>
        <v>9</v>
      </c>
      <c r="D599" s="2" t="s">
        <v>16</v>
      </c>
      <c r="E599" s="6">
        <f t="shared" si="2"/>
        <v>1</v>
      </c>
      <c r="F599" s="6" t="s">
        <v>17</v>
      </c>
      <c r="G599" s="6" t="s">
        <v>18</v>
      </c>
      <c r="H599" s="6" t="s">
        <v>37</v>
      </c>
      <c r="I599" s="6" t="s">
        <v>145</v>
      </c>
      <c r="K599" s="3" t="b">
        <f t="shared" si="3"/>
        <v>0</v>
      </c>
      <c r="L599" s="8"/>
      <c r="M599" s="6">
        <v>1.0</v>
      </c>
      <c r="N599" s="7">
        <v>11990.0</v>
      </c>
      <c r="O599" s="7">
        <f t="shared" ref="O599:O613" si="53">N599*M599</f>
        <v>11990</v>
      </c>
    </row>
    <row r="600">
      <c r="A600" s="6">
        <v>2025.0</v>
      </c>
      <c r="B600" s="6" t="s">
        <v>166</v>
      </c>
      <c r="C600" s="1">
        <f t="shared" si="1"/>
        <v>9</v>
      </c>
      <c r="D600" s="2" t="s">
        <v>16</v>
      </c>
      <c r="E600" s="6">
        <f t="shared" si="2"/>
        <v>1</v>
      </c>
      <c r="F600" s="6" t="s">
        <v>17</v>
      </c>
      <c r="G600" s="6" t="s">
        <v>18</v>
      </c>
      <c r="H600" s="6" t="s">
        <v>37</v>
      </c>
      <c r="I600" s="6" t="s">
        <v>98</v>
      </c>
      <c r="K600" s="3" t="b">
        <f t="shared" si="3"/>
        <v>0</v>
      </c>
      <c r="L600" s="8"/>
      <c r="M600" s="6">
        <v>1.0</v>
      </c>
      <c r="N600" s="7">
        <v>8700.0</v>
      </c>
      <c r="O600" s="7">
        <f t="shared" si="53"/>
        <v>8700</v>
      </c>
    </row>
    <row r="601">
      <c r="A601" s="6">
        <v>2025.0</v>
      </c>
      <c r="B601" s="6" t="s">
        <v>166</v>
      </c>
      <c r="C601" s="1">
        <f t="shared" si="1"/>
        <v>9</v>
      </c>
      <c r="D601" s="2" t="s">
        <v>16</v>
      </c>
      <c r="E601" s="6">
        <f t="shared" si="2"/>
        <v>1</v>
      </c>
      <c r="F601" s="6" t="s">
        <v>17</v>
      </c>
      <c r="G601" s="6" t="s">
        <v>18</v>
      </c>
      <c r="H601" s="6" t="s">
        <v>27</v>
      </c>
      <c r="I601" s="6" t="s">
        <v>101</v>
      </c>
      <c r="K601" s="3" t="b">
        <f t="shared" si="3"/>
        <v>0</v>
      </c>
      <c r="L601" s="8"/>
      <c r="M601" s="6">
        <v>1.0</v>
      </c>
      <c r="N601" s="7">
        <v>4490.0</v>
      </c>
      <c r="O601" s="7">
        <f t="shared" si="53"/>
        <v>4490</v>
      </c>
    </row>
    <row r="602">
      <c r="A602" s="6">
        <v>2025.0</v>
      </c>
      <c r="B602" s="6" t="s">
        <v>166</v>
      </c>
      <c r="C602" s="1">
        <f t="shared" si="1"/>
        <v>9</v>
      </c>
      <c r="D602" s="2" t="s">
        <v>16</v>
      </c>
      <c r="E602" s="6">
        <f t="shared" si="2"/>
        <v>1</v>
      </c>
      <c r="F602" s="6" t="s">
        <v>17</v>
      </c>
      <c r="G602" s="6" t="s">
        <v>18</v>
      </c>
      <c r="H602" s="6" t="s">
        <v>92</v>
      </c>
      <c r="I602" s="6" t="s">
        <v>93</v>
      </c>
      <c r="K602" s="3" t="b">
        <f t="shared" si="3"/>
        <v>0</v>
      </c>
      <c r="L602" s="8"/>
      <c r="M602" s="6">
        <v>3.0</v>
      </c>
      <c r="N602" s="7">
        <v>1990.0</v>
      </c>
      <c r="O602" s="7">
        <f t="shared" si="53"/>
        <v>5970</v>
      </c>
    </row>
    <row r="603">
      <c r="A603" s="6">
        <v>2025.0</v>
      </c>
      <c r="B603" s="6" t="s">
        <v>166</v>
      </c>
      <c r="C603" s="1">
        <f t="shared" si="1"/>
        <v>9</v>
      </c>
      <c r="D603" s="2" t="s">
        <v>16</v>
      </c>
      <c r="E603" s="6">
        <f t="shared" si="2"/>
        <v>1</v>
      </c>
      <c r="F603" s="6" t="s">
        <v>17</v>
      </c>
      <c r="G603" s="6" t="s">
        <v>18</v>
      </c>
      <c r="H603" s="6" t="s">
        <v>94</v>
      </c>
      <c r="I603" s="6" t="s">
        <v>103</v>
      </c>
      <c r="K603" s="3" t="b">
        <f t="shared" si="3"/>
        <v>0</v>
      </c>
      <c r="L603" s="8"/>
      <c r="M603" s="6">
        <v>3.0</v>
      </c>
      <c r="N603" s="7">
        <v>1950.0</v>
      </c>
      <c r="O603" s="7">
        <f t="shared" si="53"/>
        <v>5850</v>
      </c>
    </row>
    <row r="604">
      <c r="A604" s="6">
        <v>2025.0</v>
      </c>
      <c r="B604" s="6" t="s">
        <v>166</v>
      </c>
      <c r="C604" s="1">
        <f t="shared" si="1"/>
        <v>9</v>
      </c>
      <c r="D604" s="2" t="s">
        <v>16</v>
      </c>
      <c r="E604" s="6">
        <f t="shared" si="2"/>
        <v>1</v>
      </c>
      <c r="F604" s="6" t="s">
        <v>17</v>
      </c>
      <c r="G604" s="6" t="s">
        <v>18</v>
      </c>
      <c r="H604" s="6" t="s">
        <v>85</v>
      </c>
      <c r="I604" s="6" t="s">
        <v>88</v>
      </c>
      <c r="K604" s="3" t="b">
        <f t="shared" si="3"/>
        <v>0</v>
      </c>
      <c r="L604" s="8"/>
      <c r="M604" s="6">
        <v>1.0</v>
      </c>
      <c r="N604" s="7">
        <v>1150.0</v>
      </c>
      <c r="O604" s="7">
        <f t="shared" si="53"/>
        <v>1150</v>
      </c>
    </row>
    <row r="605">
      <c r="A605" s="6">
        <v>2025.0</v>
      </c>
      <c r="B605" s="6" t="s">
        <v>166</v>
      </c>
      <c r="C605" s="1">
        <f t="shared" si="1"/>
        <v>9</v>
      </c>
      <c r="D605" s="2" t="s">
        <v>16</v>
      </c>
      <c r="E605" s="6">
        <f t="shared" si="2"/>
        <v>1</v>
      </c>
      <c r="F605" s="6" t="s">
        <v>17</v>
      </c>
      <c r="G605" s="6" t="s">
        <v>18</v>
      </c>
      <c r="H605" s="6" t="s">
        <v>85</v>
      </c>
      <c r="I605" s="6" t="s">
        <v>86</v>
      </c>
      <c r="K605" s="3" t="b">
        <f t="shared" si="3"/>
        <v>0</v>
      </c>
      <c r="L605" s="8"/>
      <c r="M605" s="6">
        <v>1.0</v>
      </c>
      <c r="N605" s="7">
        <v>1150.0</v>
      </c>
      <c r="O605" s="7">
        <f t="shared" si="53"/>
        <v>1150</v>
      </c>
    </row>
    <row r="606">
      <c r="A606" s="6">
        <v>2025.0</v>
      </c>
      <c r="B606" s="6" t="s">
        <v>166</v>
      </c>
      <c r="C606" s="1">
        <f t="shared" si="1"/>
        <v>9</v>
      </c>
      <c r="D606" s="2" t="s">
        <v>16</v>
      </c>
      <c r="E606" s="6">
        <f t="shared" si="2"/>
        <v>1</v>
      </c>
      <c r="F606" s="6" t="s">
        <v>17</v>
      </c>
      <c r="G606" s="6" t="s">
        <v>79</v>
      </c>
      <c r="H606" s="6" t="s">
        <v>96</v>
      </c>
      <c r="I606" s="6" t="s">
        <v>97</v>
      </c>
      <c r="K606" s="3" t="b">
        <f t="shared" si="3"/>
        <v>0</v>
      </c>
      <c r="L606" s="8"/>
      <c r="M606" s="6">
        <v>1.0</v>
      </c>
      <c r="N606" s="7">
        <v>5350.0</v>
      </c>
      <c r="O606" s="7">
        <f t="shared" si="53"/>
        <v>5350</v>
      </c>
    </row>
    <row r="607">
      <c r="A607" s="6">
        <v>2025.0</v>
      </c>
      <c r="B607" s="6" t="s">
        <v>166</v>
      </c>
      <c r="C607" s="1">
        <f t="shared" si="1"/>
        <v>9</v>
      </c>
      <c r="D607" s="2" t="s">
        <v>16</v>
      </c>
      <c r="E607" s="6">
        <f t="shared" si="2"/>
        <v>1</v>
      </c>
      <c r="F607" s="6" t="s">
        <v>17</v>
      </c>
      <c r="G607" s="6" t="s">
        <v>18</v>
      </c>
      <c r="H607" s="6" t="s">
        <v>27</v>
      </c>
      <c r="I607" s="6" t="s">
        <v>118</v>
      </c>
      <c r="K607" s="3" t="b">
        <f t="shared" si="3"/>
        <v>0</v>
      </c>
      <c r="L607" s="8"/>
      <c r="M607" s="6">
        <v>1.0</v>
      </c>
      <c r="N607" s="7">
        <v>1750.0</v>
      </c>
      <c r="O607" s="7">
        <f t="shared" si="53"/>
        <v>1750</v>
      </c>
    </row>
    <row r="608">
      <c r="A608" s="6">
        <v>2025.0</v>
      </c>
      <c r="B608" s="6" t="s">
        <v>166</v>
      </c>
      <c r="C608" s="1">
        <f t="shared" si="1"/>
        <v>9</v>
      </c>
      <c r="D608" s="2" t="s">
        <v>16</v>
      </c>
      <c r="E608" s="6">
        <f t="shared" si="2"/>
        <v>1</v>
      </c>
      <c r="F608" s="6" t="s">
        <v>17</v>
      </c>
      <c r="G608" s="6" t="s">
        <v>18</v>
      </c>
      <c r="H608" s="6" t="s">
        <v>85</v>
      </c>
      <c r="I608" s="6" t="s">
        <v>146</v>
      </c>
      <c r="K608" s="3" t="b">
        <f t="shared" si="3"/>
        <v>0</v>
      </c>
      <c r="L608" s="8"/>
      <c r="M608" s="6">
        <v>2.0</v>
      </c>
      <c r="N608" s="7">
        <v>1150.0</v>
      </c>
      <c r="O608" s="7">
        <f t="shared" si="53"/>
        <v>2300</v>
      </c>
    </row>
    <row r="609">
      <c r="A609" s="6">
        <v>2025.0</v>
      </c>
      <c r="B609" s="6" t="s">
        <v>166</v>
      </c>
      <c r="C609" s="1">
        <f t="shared" si="1"/>
        <v>9</v>
      </c>
      <c r="D609" s="2" t="s">
        <v>16</v>
      </c>
      <c r="E609" s="6">
        <f t="shared" si="2"/>
        <v>1</v>
      </c>
      <c r="F609" s="6" t="s">
        <v>17</v>
      </c>
      <c r="G609" s="6" t="s">
        <v>18</v>
      </c>
      <c r="H609" s="6" t="s">
        <v>94</v>
      </c>
      <c r="I609" s="6" t="s">
        <v>95</v>
      </c>
      <c r="K609" s="3" t="b">
        <f t="shared" si="3"/>
        <v>0</v>
      </c>
      <c r="L609" s="8"/>
      <c r="M609" s="6">
        <v>1.0</v>
      </c>
      <c r="N609" s="7">
        <v>4950.0</v>
      </c>
      <c r="O609" s="7">
        <f t="shared" si="53"/>
        <v>4950</v>
      </c>
    </row>
    <row r="610">
      <c r="A610" s="6">
        <v>2025.0</v>
      </c>
      <c r="B610" s="6" t="s">
        <v>166</v>
      </c>
      <c r="C610" s="1">
        <f t="shared" si="1"/>
        <v>9</v>
      </c>
      <c r="D610" s="2" t="s">
        <v>16</v>
      </c>
      <c r="E610" s="6">
        <f t="shared" si="2"/>
        <v>1</v>
      </c>
      <c r="F610" s="6" t="s">
        <v>17</v>
      </c>
      <c r="G610" s="6" t="s">
        <v>18</v>
      </c>
      <c r="H610" s="6" t="s">
        <v>37</v>
      </c>
      <c r="I610" s="6" t="s">
        <v>87</v>
      </c>
      <c r="K610" s="3" t="b">
        <f t="shared" si="3"/>
        <v>0</v>
      </c>
      <c r="L610" s="8"/>
      <c r="M610" s="6">
        <v>2.0</v>
      </c>
      <c r="N610" s="7">
        <v>4990.0</v>
      </c>
      <c r="O610" s="7">
        <f t="shared" si="53"/>
        <v>9980</v>
      </c>
    </row>
    <row r="611">
      <c r="A611" s="6">
        <v>2025.0</v>
      </c>
      <c r="B611" s="6" t="s">
        <v>166</v>
      </c>
      <c r="C611" s="1">
        <f t="shared" si="1"/>
        <v>9</v>
      </c>
      <c r="D611" s="2" t="s">
        <v>16</v>
      </c>
      <c r="E611" s="6">
        <f t="shared" si="2"/>
        <v>1</v>
      </c>
      <c r="F611" s="6" t="s">
        <v>17</v>
      </c>
      <c r="G611" s="6" t="s">
        <v>83</v>
      </c>
      <c r="H611" s="6" t="s">
        <v>89</v>
      </c>
      <c r="I611" s="6" t="s">
        <v>99</v>
      </c>
      <c r="K611" s="3" t="b">
        <f t="shared" si="3"/>
        <v>1</v>
      </c>
      <c r="L611" s="3">
        <v>500.0</v>
      </c>
      <c r="M611" s="6">
        <v>1.0</v>
      </c>
      <c r="N611" s="7">
        <v>2470.0</v>
      </c>
      <c r="O611" s="7">
        <f t="shared" si="53"/>
        <v>2470</v>
      </c>
    </row>
    <row r="612">
      <c r="A612" s="6">
        <v>2025.0</v>
      </c>
      <c r="B612" s="6" t="s">
        <v>166</v>
      </c>
      <c r="C612" s="1">
        <f t="shared" si="1"/>
        <v>9</v>
      </c>
      <c r="D612" s="2" t="s">
        <v>16</v>
      </c>
      <c r="E612" s="6">
        <f t="shared" si="2"/>
        <v>1</v>
      </c>
      <c r="F612" s="6" t="s">
        <v>17</v>
      </c>
      <c r="G612" s="6" t="s">
        <v>83</v>
      </c>
      <c r="H612" s="6" t="s">
        <v>89</v>
      </c>
      <c r="I612" s="6" t="s">
        <v>99</v>
      </c>
      <c r="K612" s="3" t="b">
        <f t="shared" si="3"/>
        <v>1</v>
      </c>
      <c r="L612" s="3">
        <v>500.0</v>
      </c>
      <c r="M612" s="6">
        <v>1.0</v>
      </c>
      <c r="N612" s="7">
        <v>2600.0</v>
      </c>
      <c r="O612" s="7">
        <f t="shared" si="53"/>
        <v>2600</v>
      </c>
    </row>
    <row r="613">
      <c r="A613" s="6">
        <v>2025.0</v>
      </c>
      <c r="B613" s="6" t="s">
        <v>166</v>
      </c>
      <c r="C613" s="1">
        <f t="shared" si="1"/>
        <v>9</v>
      </c>
      <c r="D613" s="2" t="s">
        <v>16</v>
      </c>
      <c r="E613" s="6">
        <f t="shared" si="2"/>
        <v>1</v>
      </c>
      <c r="F613" s="6" t="s">
        <v>30</v>
      </c>
      <c r="G613" s="6" t="s">
        <v>18</v>
      </c>
      <c r="H613" s="6" t="s">
        <v>19</v>
      </c>
      <c r="I613" s="6" t="s">
        <v>129</v>
      </c>
      <c r="J613" s="6" t="s">
        <v>167</v>
      </c>
      <c r="K613" s="3" t="b">
        <f t="shared" si="3"/>
        <v>0</v>
      </c>
      <c r="L613" s="3">
        <v>1000.0</v>
      </c>
      <c r="M613" s="6">
        <v>1.0</v>
      </c>
      <c r="N613" s="7">
        <v>22750.0</v>
      </c>
      <c r="O613" s="7">
        <f t="shared" si="53"/>
        <v>22750</v>
      </c>
    </row>
    <row r="614">
      <c r="A614" s="6">
        <v>2025.0</v>
      </c>
      <c r="B614" s="6" t="s">
        <v>166</v>
      </c>
      <c r="C614" s="1">
        <f t="shared" si="1"/>
        <v>9</v>
      </c>
      <c r="D614" s="2" t="s">
        <v>16</v>
      </c>
      <c r="E614" s="6">
        <f t="shared" si="2"/>
        <v>1</v>
      </c>
      <c r="F614" s="6" t="s">
        <v>30</v>
      </c>
      <c r="G614" s="6" t="s">
        <v>18</v>
      </c>
      <c r="H614" s="6" t="s">
        <v>37</v>
      </c>
      <c r="I614" s="6" t="s">
        <v>47</v>
      </c>
      <c r="J614" s="6" t="s">
        <v>30</v>
      </c>
      <c r="K614" s="3" t="b">
        <f t="shared" si="3"/>
        <v>0</v>
      </c>
      <c r="L614" s="3">
        <v>1016.0</v>
      </c>
      <c r="N614" s="7">
        <v>32980.0</v>
      </c>
      <c r="O614" s="7">
        <f t="shared" ref="O614:O627" si="54">N614*L614/1000</f>
        <v>33507.68</v>
      </c>
    </row>
    <row r="615">
      <c r="A615" s="6">
        <v>2025.0</v>
      </c>
      <c r="B615" s="6" t="s">
        <v>166</v>
      </c>
      <c r="C615" s="1">
        <f t="shared" si="1"/>
        <v>9</v>
      </c>
      <c r="D615" s="2" t="s">
        <v>16</v>
      </c>
      <c r="E615" s="6">
        <f t="shared" si="2"/>
        <v>1</v>
      </c>
      <c r="F615" s="6" t="s">
        <v>30</v>
      </c>
      <c r="G615" s="6" t="s">
        <v>18</v>
      </c>
      <c r="H615" s="6" t="s">
        <v>37</v>
      </c>
      <c r="I615" s="6" t="s">
        <v>46</v>
      </c>
      <c r="J615" s="6" t="s">
        <v>30</v>
      </c>
      <c r="K615" s="3" t="b">
        <f t="shared" si="3"/>
        <v>0</v>
      </c>
      <c r="L615" s="3">
        <v>1048.0</v>
      </c>
      <c r="N615" s="7">
        <v>29980.0</v>
      </c>
      <c r="O615" s="7">
        <f t="shared" si="54"/>
        <v>31419.04</v>
      </c>
    </row>
    <row r="616">
      <c r="A616" s="6">
        <v>2025.0</v>
      </c>
      <c r="B616" s="6" t="s">
        <v>166</v>
      </c>
      <c r="C616" s="1">
        <f t="shared" si="1"/>
        <v>9</v>
      </c>
      <c r="D616" s="2" t="s">
        <v>16</v>
      </c>
      <c r="E616" s="6">
        <f t="shared" si="2"/>
        <v>1</v>
      </c>
      <c r="F616" s="6" t="s">
        <v>30</v>
      </c>
      <c r="G616" s="6" t="s">
        <v>18</v>
      </c>
      <c r="H616" s="6" t="s">
        <v>37</v>
      </c>
      <c r="I616" s="6" t="s">
        <v>67</v>
      </c>
      <c r="J616" s="6" t="s">
        <v>30</v>
      </c>
      <c r="K616" s="3" t="b">
        <f t="shared" si="3"/>
        <v>0</v>
      </c>
      <c r="L616" s="3">
        <v>1094.0</v>
      </c>
      <c r="N616" s="7">
        <v>15380.0</v>
      </c>
      <c r="O616" s="7">
        <f t="shared" si="54"/>
        <v>16825.72</v>
      </c>
    </row>
    <row r="617">
      <c r="A617" s="6">
        <v>2025.0</v>
      </c>
      <c r="B617" s="6" t="s">
        <v>166</v>
      </c>
      <c r="C617" s="1">
        <f t="shared" si="1"/>
        <v>9</v>
      </c>
      <c r="D617" s="2" t="s">
        <v>16</v>
      </c>
      <c r="E617" s="6">
        <f t="shared" si="2"/>
        <v>1</v>
      </c>
      <c r="F617" s="6" t="s">
        <v>30</v>
      </c>
      <c r="G617" s="6" t="s">
        <v>18</v>
      </c>
      <c r="H617" s="6" t="s">
        <v>37</v>
      </c>
      <c r="I617" s="6" t="s">
        <v>68</v>
      </c>
      <c r="J617" s="6" t="s">
        <v>30</v>
      </c>
      <c r="K617" s="3" t="b">
        <f t="shared" si="3"/>
        <v>0</v>
      </c>
      <c r="L617" s="3">
        <v>940.0</v>
      </c>
      <c r="N617" s="7">
        <v>26980.0</v>
      </c>
      <c r="O617" s="7">
        <f t="shared" si="54"/>
        <v>25361.2</v>
      </c>
    </row>
    <row r="618">
      <c r="A618" s="6">
        <v>2025.0</v>
      </c>
      <c r="B618" s="6" t="s">
        <v>166</v>
      </c>
      <c r="C618" s="1">
        <f t="shared" si="1"/>
        <v>9</v>
      </c>
      <c r="D618" s="2" t="s">
        <v>16</v>
      </c>
      <c r="E618" s="6">
        <f t="shared" si="2"/>
        <v>1</v>
      </c>
      <c r="F618" s="6" t="s">
        <v>30</v>
      </c>
      <c r="G618" s="6" t="s">
        <v>18</v>
      </c>
      <c r="H618" s="6" t="s">
        <v>37</v>
      </c>
      <c r="I618" s="6" t="s">
        <v>45</v>
      </c>
      <c r="J618" s="6" t="s">
        <v>30</v>
      </c>
      <c r="K618" s="3" t="b">
        <f t="shared" si="3"/>
        <v>0</v>
      </c>
      <c r="L618" s="3">
        <v>788.0</v>
      </c>
      <c r="N618" s="7">
        <v>15700.0</v>
      </c>
      <c r="O618" s="7">
        <f t="shared" si="54"/>
        <v>12371.6</v>
      </c>
    </row>
    <row r="619">
      <c r="A619" s="6">
        <v>2025.0</v>
      </c>
      <c r="B619" s="6" t="s">
        <v>166</v>
      </c>
      <c r="C619" s="1">
        <f t="shared" si="1"/>
        <v>9</v>
      </c>
      <c r="D619" s="2" t="s">
        <v>16</v>
      </c>
      <c r="E619" s="6">
        <f t="shared" si="2"/>
        <v>1</v>
      </c>
      <c r="F619" s="6" t="s">
        <v>30</v>
      </c>
      <c r="G619" s="6" t="s">
        <v>18</v>
      </c>
      <c r="H619" s="6" t="s">
        <v>37</v>
      </c>
      <c r="I619" s="6" t="s">
        <v>60</v>
      </c>
      <c r="J619" s="6" t="s">
        <v>30</v>
      </c>
      <c r="K619" s="3" t="b">
        <f t="shared" si="3"/>
        <v>0</v>
      </c>
      <c r="L619" s="3">
        <f>2535+2805</f>
        <v>5340</v>
      </c>
      <c r="N619" s="7">
        <v>8580.0</v>
      </c>
      <c r="O619" s="7">
        <f t="shared" si="54"/>
        <v>45817.2</v>
      </c>
    </row>
    <row r="620">
      <c r="A620" s="6">
        <v>2025.0</v>
      </c>
      <c r="B620" s="6" t="s">
        <v>166</v>
      </c>
      <c r="C620" s="1">
        <f t="shared" si="1"/>
        <v>9</v>
      </c>
      <c r="D620" s="2" t="s">
        <v>16</v>
      </c>
      <c r="E620" s="6">
        <f t="shared" si="2"/>
        <v>1</v>
      </c>
      <c r="F620" s="6" t="s">
        <v>30</v>
      </c>
      <c r="G620" s="6" t="s">
        <v>18</v>
      </c>
      <c r="H620" s="6" t="s">
        <v>33</v>
      </c>
      <c r="I620" s="6" t="s">
        <v>56</v>
      </c>
      <c r="J620" s="6" t="s">
        <v>30</v>
      </c>
      <c r="K620" s="3" t="b">
        <f t="shared" si="3"/>
        <v>0</v>
      </c>
      <c r="L620" s="3">
        <v>755.0</v>
      </c>
      <c r="N620" s="7">
        <v>3780.0</v>
      </c>
      <c r="O620" s="7">
        <f t="shared" si="54"/>
        <v>2853.9</v>
      </c>
    </row>
    <row r="621">
      <c r="A621" s="6">
        <v>2025.0</v>
      </c>
      <c r="B621" s="6" t="s">
        <v>166</v>
      </c>
      <c r="C621" s="1">
        <f t="shared" si="1"/>
        <v>9</v>
      </c>
      <c r="D621" s="2" t="s">
        <v>16</v>
      </c>
      <c r="E621" s="6">
        <f t="shared" si="2"/>
        <v>1</v>
      </c>
      <c r="F621" s="6" t="s">
        <v>30</v>
      </c>
      <c r="G621" s="6" t="s">
        <v>18</v>
      </c>
      <c r="H621" s="6" t="s">
        <v>33</v>
      </c>
      <c r="I621" s="6" t="s">
        <v>70</v>
      </c>
      <c r="J621" s="6" t="s">
        <v>30</v>
      </c>
      <c r="K621" s="3" t="b">
        <f t="shared" si="3"/>
        <v>0</v>
      </c>
      <c r="L621" s="3">
        <v>2540.0</v>
      </c>
      <c r="N621" s="7">
        <v>2380.0</v>
      </c>
      <c r="O621" s="7">
        <f t="shared" si="54"/>
        <v>6045.2</v>
      </c>
    </row>
    <row r="622">
      <c r="A622" s="6">
        <v>2025.0</v>
      </c>
      <c r="B622" s="6" t="s">
        <v>166</v>
      </c>
      <c r="C622" s="1">
        <f t="shared" si="1"/>
        <v>9</v>
      </c>
      <c r="D622" s="2" t="s">
        <v>16</v>
      </c>
      <c r="E622" s="6">
        <f t="shared" si="2"/>
        <v>1</v>
      </c>
      <c r="F622" s="6" t="s">
        <v>30</v>
      </c>
      <c r="G622" s="6" t="s">
        <v>18</v>
      </c>
      <c r="H622" s="6" t="s">
        <v>33</v>
      </c>
      <c r="I622" s="6" t="s">
        <v>59</v>
      </c>
      <c r="J622" s="6" t="s">
        <v>30</v>
      </c>
      <c r="K622" s="3" t="b">
        <f t="shared" si="3"/>
        <v>0</v>
      </c>
      <c r="L622" s="3">
        <v>745.0</v>
      </c>
      <c r="N622" s="7">
        <v>2780.0</v>
      </c>
      <c r="O622" s="7">
        <f t="shared" si="54"/>
        <v>2071.1</v>
      </c>
    </row>
    <row r="623">
      <c r="A623" s="6">
        <v>2025.0</v>
      </c>
      <c r="B623" s="6" t="s">
        <v>166</v>
      </c>
      <c r="C623" s="1">
        <f t="shared" si="1"/>
        <v>9</v>
      </c>
      <c r="D623" s="2" t="s">
        <v>16</v>
      </c>
      <c r="E623" s="6">
        <f t="shared" si="2"/>
        <v>1</v>
      </c>
      <c r="F623" s="6" t="s">
        <v>30</v>
      </c>
      <c r="G623" s="6" t="s">
        <v>18</v>
      </c>
      <c r="H623" s="6" t="s">
        <v>49</v>
      </c>
      <c r="I623" s="6" t="s">
        <v>168</v>
      </c>
      <c r="J623" s="6" t="s">
        <v>30</v>
      </c>
      <c r="K623" s="3" t="b">
        <f t="shared" si="3"/>
        <v>0</v>
      </c>
      <c r="L623" s="3">
        <v>1435.0</v>
      </c>
      <c r="N623" s="7">
        <v>4300.0</v>
      </c>
      <c r="O623" s="7">
        <f t="shared" si="54"/>
        <v>6170.5</v>
      </c>
    </row>
    <row r="624">
      <c r="A624" s="6">
        <v>2025.0</v>
      </c>
      <c r="B624" s="6" t="s">
        <v>166</v>
      </c>
      <c r="C624" s="1">
        <f t="shared" si="1"/>
        <v>9</v>
      </c>
      <c r="D624" s="2" t="s">
        <v>16</v>
      </c>
      <c r="E624" s="6">
        <f t="shared" si="2"/>
        <v>1</v>
      </c>
      <c r="F624" s="6" t="s">
        <v>30</v>
      </c>
      <c r="G624" s="6" t="s">
        <v>18</v>
      </c>
      <c r="H624" s="6" t="s">
        <v>49</v>
      </c>
      <c r="I624" s="6" t="s">
        <v>62</v>
      </c>
      <c r="J624" s="6" t="s">
        <v>30</v>
      </c>
      <c r="K624" s="3" t="b">
        <f t="shared" si="3"/>
        <v>0</v>
      </c>
      <c r="L624" s="3">
        <v>3855.0</v>
      </c>
      <c r="N624" s="7">
        <v>5180.0</v>
      </c>
      <c r="O624" s="7">
        <f t="shared" si="54"/>
        <v>19968.9</v>
      </c>
    </row>
    <row r="625">
      <c r="A625" s="6">
        <v>2025.0</v>
      </c>
      <c r="B625" s="6" t="s">
        <v>166</v>
      </c>
      <c r="C625" s="1">
        <f t="shared" si="1"/>
        <v>9</v>
      </c>
      <c r="D625" s="2" t="s">
        <v>16</v>
      </c>
      <c r="E625" s="6">
        <f t="shared" si="2"/>
        <v>1</v>
      </c>
      <c r="F625" s="6" t="s">
        <v>30</v>
      </c>
      <c r="G625" s="6" t="s">
        <v>18</v>
      </c>
      <c r="H625" s="6" t="s">
        <v>49</v>
      </c>
      <c r="I625" s="6" t="s">
        <v>153</v>
      </c>
      <c r="J625" s="6" t="s">
        <v>30</v>
      </c>
      <c r="K625" s="3" t="b">
        <f t="shared" si="3"/>
        <v>0</v>
      </c>
      <c r="L625" s="3">
        <v>490.0</v>
      </c>
      <c r="N625" s="7">
        <v>4780.0</v>
      </c>
      <c r="O625" s="7">
        <f t="shared" si="54"/>
        <v>2342.2</v>
      </c>
    </row>
    <row r="626">
      <c r="A626" s="6">
        <v>2025.0</v>
      </c>
      <c r="B626" s="6" t="s">
        <v>166</v>
      </c>
      <c r="C626" s="1">
        <f t="shared" si="1"/>
        <v>9</v>
      </c>
      <c r="D626" s="2" t="s">
        <v>16</v>
      </c>
      <c r="E626" s="6">
        <f t="shared" si="2"/>
        <v>1</v>
      </c>
      <c r="F626" s="6" t="s">
        <v>30</v>
      </c>
      <c r="G626" s="6" t="s">
        <v>18</v>
      </c>
      <c r="H626" s="6" t="s">
        <v>49</v>
      </c>
      <c r="I626" s="6" t="s">
        <v>71</v>
      </c>
      <c r="J626" s="6" t="s">
        <v>30</v>
      </c>
      <c r="K626" s="3" t="b">
        <f t="shared" si="3"/>
        <v>0</v>
      </c>
      <c r="L626" s="3">
        <v>970.0</v>
      </c>
      <c r="N626" s="7">
        <v>3980.0</v>
      </c>
      <c r="O626" s="7">
        <f t="shared" si="54"/>
        <v>3860.6</v>
      </c>
    </row>
    <row r="627">
      <c r="A627" s="6">
        <v>2025.0</v>
      </c>
      <c r="B627" s="6" t="s">
        <v>166</v>
      </c>
      <c r="C627" s="1">
        <f t="shared" si="1"/>
        <v>9</v>
      </c>
      <c r="D627" s="2" t="s">
        <v>16</v>
      </c>
      <c r="E627" s="6">
        <f t="shared" si="2"/>
        <v>1</v>
      </c>
      <c r="F627" s="6" t="s">
        <v>30</v>
      </c>
      <c r="G627" s="6" t="s">
        <v>18</v>
      </c>
      <c r="H627" s="6" t="s">
        <v>49</v>
      </c>
      <c r="I627" s="6" t="s">
        <v>142</v>
      </c>
      <c r="J627" s="6" t="s">
        <v>30</v>
      </c>
      <c r="K627" s="3" t="b">
        <f t="shared" si="3"/>
        <v>0</v>
      </c>
      <c r="L627" s="3">
        <v>310.0</v>
      </c>
      <c r="N627" s="7">
        <v>4980.0</v>
      </c>
      <c r="O627" s="7">
        <f t="shared" si="54"/>
        <v>1543.8</v>
      </c>
    </row>
    <row r="628">
      <c r="A628" s="6">
        <v>2025.0</v>
      </c>
      <c r="B628" s="6" t="s">
        <v>166</v>
      </c>
      <c r="C628" s="1">
        <f t="shared" si="1"/>
        <v>9</v>
      </c>
      <c r="D628" s="2" t="s">
        <v>16</v>
      </c>
      <c r="E628" s="6">
        <f t="shared" si="2"/>
        <v>1</v>
      </c>
      <c r="F628" s="6" t="s">
        <v>30</v>
      </c>
      <c r="G628" s="6" t="s">
        <v>18</v>
      </c>
      <c r="H628" s="6" t="s">
        <v>92</v>
      </c>
      <c r="I628" s="6" t="s">
        <v>122</v>
      </c>
      <c r="J628" s="6" t="s">
        <v>169</v>
      </c>
      <c r="K628" s="3" t="b">
        <f t="shared" si="3"/>
        <v>0</v>
      </c>
      <c r="L628" s="3">
        <v>500.0</v>
      </c>
      <c r="M628" s="6">
        <v>1.0</v>
      </c>
      <c r="N628" s="7">
        <v>1500.0</v>
      </c>
      <c r="O628" s="7">
        <f>N628*M628</f>
        <v>1500</v>
      </c>
    </row>
    <row r="629">
      <c r="A629" s="6">
        <v>2025.0</v>
      </c>
      <c r="B629" s="6" t="s">
        <v>166</v>
      </c>
      <c r="C629" s="1">
        <f t="shared" si="1"/>
        <v>9</v>
      </c>
      <c r="D629" s="2" t="s">
        <v>16</v>
      </c>
      <c r="E629" s="6">
        <f t="shared" si="2"/>
        <v>1</v>
      </c>
      <c r="F629" s="6" t="s">
        <v>30</v>
      </c>
      <c r="G629" s="6" t="s">
        <v>18</v>
      </c>
      <c r="H629" s="6" t="s">
        <v>49</v>
      </c>
      <c r="I629" s="6" t="s">
        <v>58</v>
      </c>
      <c r="J629" s="6" t="s">
        <v>30</v>
      </c>
      <c r="K629" s="3" t="b">
        <f t="shared" si="3"/>
        <v>0</v>
      </c>
      <c r="L629" s="3">
        <f>790+685</f>
        <v>1475</v>
      </c>
      <c r="N629" s="7">
        <v>4180.0</v>
      </c>
      <c r="O629" s="7">
        <f t="shared" ref="O629:O633" si="55">N629*L629/1000</f>
        <v>6165.5</v>
      </c>
    </row>
    <row r="630">
      <c r="A630" s="6">
        <v>2025.0</v>
      </c>
      <c r="B630" s="6" t="s">
        <v>166</v>
      </c>
      <c r="C630" s="1">
        <f t="shared" si="1"/>
        <v>9</v>
      </c>
      <c r="D630" s="2" t="s">
        <v>16</v>
      </c>
      <c r="E630" s="6">
        <f t="shared" si="2"/>
        <v>1</v>
      </c>
      <c r="F630" s="6" t="s">
        <v>30</v>
      </c>
      <c r="G630" s="6" t="s">
        <v>18</v>
      </c>
      <c r="H630" s="6" t="s">
        <v>49</v>
      </c>
      <c r="I630" s="6" t="s">
        <v>50</v>
      </c>
      <c r="J630" s="6" t="s">
        <v>30</v>
      </c>
      <c r="K630" s="3" t="b">
        <f t="shared" si="3"/>
        <v>0</v>
      </c>
      <c r="L630" s="3">
        <v>3595.0</v>
      </c>
      <c r="N630" s="7">
        <v>2980.0</v>
      </c>
      <c r="O630" s="7">
        <f t="shared" si="55"/>
        <v>10713.1</v>
      </c>
    </row>
    <row r="631">
      <c r="A631" s="6">
        <v>2025.0</v>
      </c>
      <c r="B631" s="6" t="s">
        <v>166</v>
      </c>
      <c r="C631" s="1">
        <f t="shared" si="1"/>
        <v>9</v>
      </c>
      <c r="D631" s="2" t="s">
        <v>16</v>
      </c>
      <c r="E631" s="6">
        <f t="shared" si="2"/>
        <v>1</v>
      </c>
      <c r="F631" s="6" t="s">
        <v>30</v>
      </c>
      <c r="G631" s="6" t="s">
        <v>18</v>
      </c>
      <c r="H631" s="6" t="s">
        <v>49</v>
      </c>
      <c r="I631" s="6" t="s">
        <v>63</v>
      </c>
      <c r="J631" s="6" t="s">
        <v>30</v>
      </c>
      <c r="K631" s="3" t="b">
        <f t="shared" si="3"/>
        <v>0</v>
      </c>
      <c r="L631" s="3">
        <f>705+575</f>
        <v>1280</v>
      </c>
      <c r="N631" s="7">
        <v>4780.0</v>
      </c>
      <c r="O631" s="7">
        <f t="shared" si="55"/>
        <v>6118.4</v>
      </c>
    </row>
    <row r="632">
      <c r="A632" s="6">
        <v>2025.0</v>
      </c>
      <c r="B632" s="6" t="s">
        <v>166</v>
      </c>
      <c r="C632" s="1">
        <f t="shared" si="1"/>
        <v>9</v>
      </c>
      <c r="D632" s="2" t="s">
        <v>16</v>
      </c>
      <c r="E632" s="6">
        <f t="shared" si="2"/>
        <v>1</v>
      </c>
      <c r="F632" s="6" t="s">
        <v>30</v>
      </c>
      <c r="G632" s="6" t="s">
        <v>18</v>
      </c>
      <c r="H632" s="6" t="s">
        <v>49</v>
      </c>
      <c r="I632" s="6" t="s">
        <v>57</v>
      </c>
      <c r="J632" s="6" t="s">
        <v>30</v>
      </c>
      <c r="K632" s="3" t="b">
        <f t="shared" si="3"/>
        <v>0</v>
      </c>
      <c r="L632" s="3">
        <v>2080.0</v>
      </c>
      <c r="N632" s="7">
        <v>3180.0</v>
      </c>
      <c r="O632" s="7">
        <f t="shared" si="55"/>
        <v>6614.4</v>
      </c>
    </row>
    <row r="633">
      <c r="A633" s="6">
        <v>2025.0</v>
      </c>
      <c r="B633" s="6" t="s">
        <v>166</v>
      </c>
      <c r="C633" s="1">
        <f t="shared" si="1"/>
        <v>9</v>
      </c>
      <c r="D633" s="2" t="s">
        <v>16</v>
      </c>
      <c r="E633" s="6">
        <f t="shared" si="2"/>
        <v>1</v>
      </c>
      <c r="F633" s="6" t="s">
        <v>30</v>
      </c>
      <c r="G633" s="6" t="s">
        <v>18</v>
      </c>
      <c r="H633" s="6" t="s">
        <v>49</v>
      </c>
      <c r="I633" s="6" t="s">
        <v>74</v>
      </c>
      <c r="J633" s="6" t="s">
        <v>30</v>
      </c>
      <c r="K633" s="3" t="b">
        <f t="shared" si="3"/>
        <v>0</v>
      </c>
      <c r="L633" s="3">
        <v>2155.0</v>
      </c>
      <c r="N633" s="7">
        <v>980.0</v>
      </c>
      <c r="O633" s="7">
        <f t="shared" si="55"/>
        <v>2111.9</v>
      </c>
    </row>
    <row r="634">
      <c r="A634" s="6">
        <v>2025.0</v>
      </c>
      <c r="B634" s="6" t="s">
        <v>166</v>
      </c>
      <c r="C634" s="1">
        <f t="shared" si="1"/>
        <v>9</v>
      </c>
      <c r="D634" s="2" t="s">
        <v>16</v>
      </c>
      <c r="E634" s="6">
        <f t="shared" si="2"/>
        <v>1</v>
      </c>
      <c r="F634" s="6" t="s">
        <v>30</v>
      </c>
      <c r="G634" s="6" t="s">
        <v>18</v>
      </c>
      <c r="H634" s="6" t="s">
        <v>52</v>
      </c>
      <c r="I634" s="6" t="s">
        <v>53</v>
      </c>
      <c r="J634" s="6" t="s">
        <v>39</v>
      </c>
      <c r="K634" s="3" t="b">
        <f t="shared" si="3"/>
        <v>0</v>
      </c>
      <c r="L634" s="3">
        <v>500.0</v>
      </c>
      <c r="M634" s="6">
        <v>1.0</v>
      </c>
      <c r="N634" s="7">
        <v>3300.0</v>
      </c>
      <c r="O634" s="7">
        <f t="shared" ref="O634:O655" si="56">N634*M634</f>
        <v>3300</v>
      </c>
    </row>
    <row r="635">
      <c r="A635" s="6">
        <v>2025.0</v>
      </c>
      <c r="B635" s="6" t="s">
        <v>166</v>
      </c>
      <c r="C635" s="1">
        <f t="shared" si="1"/>
        <v>9</v>
      </c>
      <c r="D635" s="2" t="s">
        <v>16</v>
      </c>
      <c r="E635" s="6">
        <f t="shared" si="2"/>
        <v>1</v>
      </c>
      <c r="F635" s="6" t="s">
        <v>30</v>
      </c>
      <c r="G635" s="6" t="s">
        <v>18</v>
      </c>
      <c r="H635" s="6" t="s">
        <v>52</v>
      </c>
      <c r="I635" s="6" t="s">
        <v>54</v>
      </c>
      <c r="J635" s="6" t="s">
        <v>39</v>
      </c>
      <c r="K635" s="3" t="b">
        <f t="shared" si="3"/>
        <v>0</v>
      </c>
      <c r="L635" s="3">
        <v>500.0</v>
      </c>
      <c r="M635" s="6">
        <v>1.0</v>
      </c>
      <c r="N635" s="7">
        <v>4290.0</v>
      </c>
      <c r="O635" s="7">
        <f t="shared" si="56"/>
        <v>4290</v>
      </c>
    </row>
    <row r="636">
      <c r="A636" s="6">
        <v>2025.0</v>
      </c>
      <c r="B636" s="6" t="s">
        <v>166</v>
      </c>
      <c r="C636" s="1">
        <f t="shared" si="1"/>
        <v>9</v>
      </c>
      <c r="D636" s="2" t="s">
        <v>16</v>
      </c>
      <c r="E636" s="6">
        <f t="shared" si="2"/>
        <v>1</v>
      </c>
      <c r="F636" s="6" t="s">
        <v>30</v>
      </c>
      <c r="G636" s="6" t="s">
        <v>18</v>
      </c>
      <c r="H636" s="6" t="s">
        <v>24</v>
      </c>
      <c r="I636" s="6" t="s">
        <v>42</v>
      </c>
      <c r="J636" s="6" t="s">
        <v>43</v>
      </c>
      <c r="K636" s="3" t="b">
        <f t="shared" si="3"/>
        <v>0</v>
      </c>
      <c r="L636" s="3">
        <v>400.0</v>
      </c>
      <c r="M636" s="6">
        <v>1.0</v>
      </c>
      <c r="N636" s="7">
        <v>17950.0</v>
      </c>
      <c r="O636" s="7">
        <f t="shared" si="56"/>
        <v>17950</v>
      </c>
    </row>
    <row r="637">
      <c r="A637" s="6">
        <v>2025.0</v>
      </c>
      <c r="B637" s="6" t="s">
        <v>166</v>
      </c>
      <c r="C637" s="1">
        <f t="shared" si="1"/>
        <v>9</v>
      </c>
      <c r="D637" s="2" t="s">
        <v>16</v>
      </c>
      <c r="E637" s="6">
        <f t="shared" si="2"/>
        <v>1</v>
      </c>
      <c r="F637" s="6" t="s">
        <v>30</v>
      </c>
      <c r="G637" s="6" t="s">
        <v>18</v>
      </c>
      <c r="H637" s="6" t="s">
        <v>52</v>
      </c>
      <c r="I637" s="6" t="s">
        <v>75</v>
      </c>
      <c r="J637" s="6" t="s">
        <v>39</v>
      </c>
      <c r="K637" s="3" t="b">
        <f t="shared" si="3"/>
        <v>0</v>
      </c>
      <c r="L637" s="3">
        <v>500.0</v>
      </c>
      <c r="M637" s="6">
        <v>1.0</v>
      </c>
      <c r="N637" s="7">
        <v>1890.0</v>
      </c>
      <c r="O637" s="7">
        <f t="shared" si="56"/>
        <v>1890</v>
      </c>
    </row>
    <row r="638">
      <c r="A638" s="6">
        <v>2025.0</v>
      </c>
      <c r="B638" s="6" t="s">
        <v>166</v>
      </c>
      <c r="C638" s="1">
        <f t="shared" si="1"/>
        <v>9</v>
      </c>
      <c r="D638" s="2" t="s">
        <v>16</v>
      </c>
      <c r="E638" s="6">
        <f t="shared" si="2"/>
        <v>1</v>
      </c>
      <c r="F638" s="6" t="s">
        <v>30</v>
      </c>
      <c r="G638" s="6" t="s">
        <v>18</v>
      </c>
      <c r="H638" s="6" t="s">
        <v>31</v>
      </c>
      <c r="I638" s="6" t="s">
        <v>32</v>
      </c>
      <c r="J638" s="6" t="s">
        <v>30</v>
      </c>
      <c r="K638" s="3" t="b">
        <f t="shared" si="3"/>
        <v>0</v>
      </c>
      <c r="L638" s="3">
        <v>900.0</v>
      </c>
      <c r="M638" s="6">
        <v>1.0</v>
      </c>
      <c r="N638" s="7">
        <v>7200.0</v>
      </c>
      <c r="O638" s="7">
        <f t="shared" si="56"/>
        <v>7200</v>
      </c>
    </row>
    <row r="639">
      <c r="A639" s="6">
        <v>2025.0</v>
      </c>
      <c r="B639" s="6" t="s">
        <v>166</v>
      </c>
      <c r="C639" s="1">
        <f t="shared" si="1"/>
        <v>9</v>
      </c>
      <c r="D639" s="2" t="s">
        <v>16</v>
      </c>
      <c r="E639" s="6">
        <f t="shared" si="2"/>
        <v>1</v>
      </c>
      <c r="F639" s="6" t="s">
        <v>30</v>
      </c>
      <c r="G639" s="6" t="s">
        <v>18</v>
      </c>
      <c r="H639" s="6" t="s">
        <v>94</v>
      </c>
      <c r="I639" s="6" t="s">
        <v>128</v>
      </c>
      <c r="J639" s="6" t="s">
        <v>170</v>
      </c>
      <c r="K639" s="3" t="b">
        <f t="shared" si="3"/>
        <v>0</v>
      </c>
      <c r="L639" s="3">
        <v>500.0</v>
      </c>
      <c r="M639" s="6">
        <v>1.0</v>
      </c>
      <c r="N639" s="7">
        <v>1890.0</v>
      </c>
      <c r="O639" s="7">
        <f t="shared" si="56"/>
        <v>1890</v>
      </c>
    </row>
    <row r="640">
      <c r="A640" s="6">
        <v>2025.0</v>
      </c>
      <c r="B640" s="6" t="s">
        <v>166</v>
      </c>
      <c r="C640" s="1">
        <f t="shared" si="1"/>
        <v>9</v>
      </c>
      <c r="D640" s="2" t="s">
        <v>16</v>
      </c>
      <c r="E640" s="6">
        <f t="shared" si="2"/>
        <v>1</v>
      </c>
      <c r="F640" s="6" t="s">
        <v>30</v>
      </c>
      <c r="G640" s="6" t="s">
        <v>18</v>
      </c>
      <c r="H640" s="6" t="s">
        <v>37</v>
      </c>
      <c r="I640" s="6" t="s">
        <v>38</v>
      </c>
      <c r="J640" s="6" t="s">
        <v>39</v>
      </c>
      <c r="K640" s="3" t="b">
        <f t="shared" si="3"/>
        <v>0</v>
      </c>
      <c r="L640" s="3">
        <v>160.0</v>
      </c>
      <c r="M640" s="6">
        <v>1.0</v>
      </c>
      <c r="N640" s="7">
        <v>4990.0</v>
      </c>
      <c r="O640" s="7">
        <f t="shared" si="56"/>
        <v>4990</v>
      </c>
    </row>
    <row r="641">
      <c r="A641" s="6">
        <v>2025.0</v>
      </c>
      <c r="B641" s="6" t="s">
        <v>166</v>
      </c>
      <c r="C641" s="1">
        <f t="shared" si="1"/>
        <v>9</v>
      </c>
      <c r="D641" s="2" t="s">
        <v>65</v>
      </c>
      <c r="E641" s="6">
        <f t="shared" si="2"/>
        <v>2</v>
      </c>
      <c r="F641" s="6" t="s">
        <v>17</v>
      </c>
      <c r="G641" s="6" t="s">
        <v>83</v>
      </c>
      <c r="H641" s="6" t="s">
        <v>89</v>
      </c>
      <c r="I641" s="6" t="s">
        <v>90</v>
      </c>
      <c r="K641" s="3" t="b">
        <f t="shared" si="3"/>
        <v>0</v>
      </c>
      <c r="L641" s="8"/>
      <c r="M641" s="6">
        <v>1.0</v>
      </c>
      <c r="N641" s="7">
        <v>2450.0</v>
      </c>
      <c r="O641" s="7">
        <f t="shared" si="56"/>
        <v>2450</v>
      </c>
    </row>
    <row r="642">
      <c r="A642" s="6">
        <v>2025.0</v>
      </c>
      <c r="B642" s="6" t="s">
        <v>166</v>
      </c>
      <c r="C642" s="1">
        <f t="shared" si="1"/>
        <v>9</v>
      </c>
      <c r="D642" s="2" t="s">
        <v>65</v>
      </c>
      <c r="E642" s="6">
        <f t="shared" si="2"/>
        <v>2</v>
      </c>
      <c r="F642" s="6" t="s">
        <v>17</v>
      </c>
      <c r="G642" s="6" t="s">
        <v>83</v>
      </c>
      <c r="H642" s="6" t="s">
        <v>89</v>
      </c>
      <c r="I642" s="6" t="s">
        <v>115</v>
      </c>
      <c r="K642" s="3" t="b">
        <f t="shared" si="3"/>
        <v>0</v>
      </c>
      <c r="L642" s="8"/>
      <c r="M642" s="6">
        <v>1.0</v>
      </c>
      <c r="N642" s="7">
        <v>4950.0</v>
      </c>
      <c r="O642" s="7">
        <f t="shared" si="56"/>
        <v>4950</v>
      </c>
    </row>
    <row r="643">
      <c r="A643" s="6">
        <v>2025.0</v>
      </c>
      <c r="B643" s="6" t="s">
        <v>166</v>
      </c>
      <c r="C643" s="1">
        <f t="shared" si="1"/>
        <v>9</v>
      </c>
      <c r="D643" s="2" t="s">
        <v>65</v>
      </c>
      <c r="E643" s="6">
        <f t="shared" si="2"/>
        <v>2</v>
      </c>
      <c r="F643" s="6" t="s">
        <v>17</v>
      </c>
      <c r="G643" s="6" t="s">
        <v>83</v>
      </c>
      <c r="H643" s="6" t="s">
        <v>89</v>
      </c>
      <c r="I643" s="6" t="s">
        <v>127</v>
      </c>
      <c r="K643" s="3" t="b">
        <f t="shared" si="3"/>
        <v>0</v>
      </c>
      <c r="L643" s="8"/>
      <c r="M643" s="6">
        <v>1.0</v>
      </c>
      <c r="N643" s="7">
        <v>2880.0</v>
      </c>
      <c r="O643" s="7">
        <f t="shared" si="56"/>
        <v>2880</v>
      </c>
    </row>
    <row r="644">
      <c r="A644" s="6">
        <v>2025.0</v>
      </c>
      <c r="B644" s="6" t="s">
        <v>166</v>
      </c>
      <c r="C644" s="1">
        <f t="shared" si="1"/>
        <v>9</v>
      </c>
      <c r="D644" s="2" t="s">
        <v>65</v>
      </c>
      <c r="E644" s="6">
        <f t="shared" si="2"/>
        <v>2</v>
      </c>
      <c r="F644" s="6" t="s">
        <v>17</v>
      </c>
      <c r="G644" s="6" t="s">
        <v>79</v>
      </c>
      <c r="H644" s="6" t="s">
        <v>96</v>
      </c>
      <c r="I644" s="6" t="s">
        <v>171</v>
      </c>
      <c r="K644" s="3" t="b">
        <f t="shared" si="3"/>
        <v>0</v>
      </c>
      <c r="L644" s="8"/>
      <c r="M644" s="6">
        <v>1.0</v>
      </c>
      <c r="N644" s="7">
        <v>3490.0</v>
      </c>
      <c r="O644" s="7">
        <f t="shared" si="56"/>
        <v>3490</v>
      </c>
    </row>
    <row r="645">
      <c r="A645" s="6">
        <v>2025.0</v>
      </c>
      <c r="B645" s="6" t="s">
        <v>166</v>
      </c>
      <c r="C645" s="1">
        <f t="shared" si="1"/>
        <v>9</v>
      </c>
      <c r="D645" s="2" t="s">
        <v>65</v>
      </c>
      <c r="E645" s="6">
        <f t="shared" si="2"/>
        <v>2</v>
      </c>
      <c r="F645" s="6" t="s">
        <v>17</v>
      </c>
      <c r="G645" s="14" t="s">
        <v>79</v>
      </c>
      <c r="H645" s="6" t="s">
        <v>96</v>
      </c>
      <c r="I645" s="14" t="s">
        <v>161</v>
      </c>
      <c r="K645" s="3" t="b">
        <f t="shared" si="3"/>
        <v>0</v>
      </c>
      <c r="L645" s="8"/>
      <c r="M645" s="6">
        <v>2.0</v>
      </c>
      <c r="N645" s="7">
        <v>2700.0</v>
      </c>
      <c r="O645" s="7">
        <f t="shared" si="56"/>
        <v>5400</v>
      </c>
    </row>
    <row r="646">
      <c r="A646" s="6">
        <v>2025.0</v>
      </c>
      <c r="B646" s="6" t="s">
        <v>166</v>
      </c>
      <c r="C646" s="1">
        <f t="shared" si="1"/>
        <v>9</v>
      </c>
      <c r="D646" s="2" t="s">
        <v>65</v>
      </c>
      <c r="E646" s="6">
        <f t="shared" si="2"/>
        <v>2</v>
      </c>
      <c r="F646" s="6" t="s">
        <v>17</v>
      </c>
      <c r="G646" s="6" t="s">
        <v>18</v>
      </c>
      <c r="H646" s="6" t="s">
        <v>27</v>
      </c>
      <c r="I646" s="6" t="s">
        <v>100</v>
      </c>
      <c r="K646" s="3" t="b">
        <f t="shared" si="3"/>
        <v>0</v>
      </c>
      <c r="L646" s="8"/>
      <c r="M646" s="6">
        <v>1.0</v>
      </c>
      <c r="N646" s="7">
        <v>3790.0</v>
      </c>
      <c r="O646" s="7">
        <f t="shared" si="56"/>
        <v>3790</v>
      </c>
    </row>
    <row r="647">
      <c r="A647" s="6">
        <v>2025.0</v>
      </c>
      <c r="B647" s="6" t="s">
        <v>166</v>
      </c>
      <c r="C647" s="1">
        <f t="shared" si="1"/>
        <v>9</v>
      </c>
      <c r="D647" s="2" t="s">
        <v>65</v>
      </c>
      <c r="E647" s="6">
        <f t="shared" si="2"/>
        <v>2</v>
      </c>
      <c r="F647" s="6" t="s">
        <v>17</v>
      </c>
      <c r="G647" s="6" t="s">
        <v>18</v>
      </c>
      <c r="H647" s="6" t="s">
        <v>27</v>
      </c>
      <c r="I647" s="6" t="s">
        <v>101</v>
      </c>
      <c r="K647" s="3" t="b">
        <f t="shared" si="3"/>
        <v>0</v>
      </c>
      <c r="L647" s="8"/>
      <c r="M647" s="6">
        <v>1.0</v>
      </c>
      <c r="N647" s="7">
        <v>4490.0</v>
      </c>
      <c r="O647" s="7">
        <f t="shared" si="56"/>
        <v>4490</v>
      </c>
    </row>
    <row r="648">
      <c r="A648" s="6">
        <v>2025.0</v>
      </c>
      <c r="B648" s="6" t="s">
        <v>166</v>
      </c>
      <c r="C648" s="1">
        <f t="shared" si="1"/>
        <v>9</v>
      </c>
      <c r="D648" s="2" t="s">
        <v>65</v>
      </c>
      <c r="E648" s="6">
        <f t="shared" si="2"/>
        <v>2</v>
      </c>
      <c r="F648" s="6" t="s">
        <v>17</v>
      </c>
      <c r="G648" s="6" t="s">
        <v>18</v>
      </c>
      <c r="H648" s="6" t="s">
        <v>37</v>
      </c>
      <c r="I648" s="6" t="s">
        <v>145</v>
      </c>
      <c r="K648" s="3" t="b">
        <f t="shared" si="3"/>
        <v>0</v>
      </c>
      <c r="L648" s="8"/>
      <c r="M648" s="6">
        <v>1.0</v>
      </c>
      <c r="N648" s="7">
        <v>11950.0</v>
      </c>
      <c r="O648" s="7">
        <f t="shared" si="56"/>
        <v>11950</v>
      </c>
    </row>
    <row r="649">
      <c r="A649" s="6">
        <v>2025.0</v>
      </c>
      <c r="B649" s="6" t="s">
        <v>166</v>
      </c>
      <c r="C649" s="1">
        <f t="shared" si="1"/>
        <v>9</v>
      </c>
      <c r="D649" s="2" t="s">
        <v>65</v>
      </c>
      <c r="E649" s="6">
        <f t="shared" si="2"/>
        <v>2</v>
      </c>
      <c r="F649" s="6" t="s">
        <v>17</v>
      </c>
      <c r="G649" s="6" t="s">
        <v>18</v>
      </c>
      <c r="H649" s="6" t="s">
        <v>85</v>
      </c>
      <c r="I649" s="6" t="s">
        <v>88</v>
      </c>
      <c r="K649" s="3" t="b">
        <f t="shared" si="3"/>
        <v>0</v>
      </c>
      <c r="L649" s="8"/>
      <c r="M649" s="6">
        <v>1.0</v>
      </c>
      <c r="N649" s="7">
        <v>1150.0</v>
      </c>
      <c r="O649" s="7">
        <f t="shared" si="56"/>
        <v>1150</v>
      </c>
    </row>
    <row r="650">
      <c r="A650" s="6">
        <v>2025.0</v>
      </c>
      <c r="B650" s="6" t="s">
        <v>166</v>
      </c>
      <c r="C650" s="1">
        <f t="shared" si="1"/>
        <v>9</v>
      </c>
      <c r="D650" s="2" t="s">
        <v>65</v>
      </c>
      <c r="E650" s="6">
        <f t="shared" si="2"/>
        <v>2</v>
      </c>
      <c r="F650" s="6" t="s">
        <v>17</v>
      </c>
      <c r="G650" s="6" t="s">
        <v>18</v>
      </c>
      <c r="H650" s="6" t="s">
        <v>85</v>
      </c>
      <c r="I650" s="6" t="s">
        <v>146</v>
      </c>
      <c r="K650" s="3" t="b">
        <f t="shared" si="3"/>
        <v>0</v>
      </c>
      <c r="L650" s="8"/>
      <c r="M650" s="6">
        <v>1.0</v>
      </c>
      <c r="N650" s="7">
        <v>1150.0</v>
      </c>
      <c r="O650" s="7">
        <f t="shared" si="56"/>
        <v>1150</v>
      </c>
    </row>
    <row r="651">
      <c r="A651" s="6">
        <v>2025.0</v>
      </c>
      <c r="B651" s="6" t="s">
        <v>166</v>
      </c>
      <c r="C651" s="1">
        <f t="shared" si="1"/>
        <v>9</v>
      </c>
      <c r="D651" s="2" t="s">
        <v>65</v>
      </c>
      <c r="E651" s="6">
        <f t="shared" si="2"/>
        <v>2</v>
      </c>
      <c r="F651" s="6" t="s">
        <v>17</v>
      </c>
      <c r="G651" s="6" t="s">
        <v>18</v>
      </c>
      <c r="H651" s="6" t="s">
        <v>37</v>
      </c>
      <c r="I651" s="6" t="s">
        <v>87</v>
      </c>
      <c r="K651" s="3" t="b">
        <f t="shared" si="3"/>
        <v>0</v>
      </c>
      <c r="L651" s="8"/>
      <c r="M651" s="6">
        <v>2.0</v>
      </c>
      <c r="N651" s="7">
        <v>4990.0</v>
      </c>
      <c r="O651" s="7">
        <f t="shared" si="56"/>
        <v>9980</v>
      </c>
    </row>
    <row r="652">
      <c r="A652" s="6">
        <v>2025.0</v>
      </c>
      <c r="B652" s="6" t="s">
        <v>166</v>
      </c>
      <c r="C652" s="1">
        <f t="shared" si="1"/>
        <v>9</v>
      </c>
      <c r="D652" s="2" t="s">
        <v>65</v>
      </c>
      <c r="E652" s="6">
        <f t="shared" si="2"/>
        <v>2</v>
      </c>
      <c r="F652" s="6" t="s">
        <v>17</v>
      </c>
      <c r="G652" s="6" t="s">
        <v>18</v>
      </c>
      <c r="H652" s="6" t="s">
        <v>92</v>
      </c>
      <c r="I652" s="6" t="s">
        <v>93</v>
      </c>
      <c r="K652" s="3" t="b">
        <f t="shared" si="3"/>
        <v>0</v>
      </c>
      <c r="L652" s="8"/>
      <c r="M652" s="6">
        <v>3.0</v>
      </c>
      <c r="N652" s="7">
        <v>1990.0</v>
      </c>
      <c r="O652" s="7">
        <f t="shared" si="56"/>
        <v>5970</v>
      </c>
    </row>
    <row r="653">
      <c r="A653" s="6">
        <v>2025.0</v>
      </c>
      <c r="B653" s="6" t="s">
        <v>166</v>
      </c>
      <c r="C653" s="1">
        <f t="shared" si="1"/>
        <v>9</v>
      </c>
      <c r="D653" s="2" t="s">
        <v>65</v>
      </c>
      <c r="E653" s="6">
        <f t="shared" si="2"/>
        <v>2</v>
      </c>
      <c r="F653" s="6" t="s">
        <v>17</v>
      </c>
      <c r="G653" s="6" t="s">
        <v>18</v>
      </c>
      <c r="H653" s="6" t="s">
        <v>27</v>
      </c>
      <c r="I653" s="6" t="s">
        <v>118</v>
      </c>
      <c r="K653" s="3" t="b">
        <f t="shared" si="3"/>
        <v>0</v>
      </c>
      <c r="L653" s="8"/>
      <c r="M653" s="6">
        <v>1.0</v>
      </c>
      <c r="N653" s="7">
        <v>1750.0</v>
      </c>
      <c r="O653" s="7">
        <f t="shared" si="56"/>
        <v>1750</v>
      </c>
    </row>
    <row r="654">
      <c r="A654" s="6">
        <v>2025.0</v>
      </c>
      <c r="B654" s="6" t="s">
        <v>166</v>
      </c>
      <c r="C654" s="1">
        <f t="shared" si="1"/>
        <v>9</v>
      </c>
      <c r="D654" s="2" t="s">
        <v>65</v>
      </c>
      <c r="E654" s="6">
        <f t="shared" si="2"/>
        <v>2</v>
      </c>
      <c r="F654" s="6" t="s">
        <v>17</v>
      </c>
      <c r="G654" s="6" t="s">
        <v>18</v>
      </c>
      <c r="H654" s="6" t="s">
        <v>94</v>
      </c>
      <c r="I654" s="6" t="s">
        <v>95</v>
      </c>
      <c r="K654" s="3" t="b">
        <f t="shared" si="3"/>
        <v>0</v>
      </c>
      <c r="L654" s="8"/>
      <c r="M654" s="6">
        <v>1.0</v>
      </c>
      <c r="N654" s="7">
        <v>4950.0</v>
      </c>
      <c r="O654" s="7">
        <f t="shared" si="56"/>
        <v>4950</v>
      </c>
    </row>
    <row r="655">
      <c r="A655" s="6">
        <v>2025.0</v>
      </c>
      <c r="B655" s="6" t="s">
        <v>166</v>
      </c>
      <c r="C655" s="1">
        <f t="shared" si="1"/>
        <v>9</v>
      </c>
      <c r="D655" s="2" t="s">
        <v>65</v>
      </c>
      <c r="E655" s="6">
        <f t="shared" si="2"/>
        <v>2</v>
      </c>
      <c r="F655" s="6" t="s">
        <v>17</v>
      </c>
      <c r="G655" s="6" t="s">
        <v>18</v>
      </c>
      <c r="H655" s="6" t="s">
        <v>37</v>
      </c>
      <c r="I655" s="6" t="s">
        <v>98</v>
      </c>
      <c r="K655" s="3" t="b">
        <f t="shared" si="3"/>
        <v>0</v>
      </c>
      <c r="L655" s="8"/>
      <c r="M655" s="6">
        <v>1.0</v>
      </c>
      <c r="N655" s="7">
        <v>8700.0</v>
      </c>
      <c r="O655" s="7">
        <f t="shared" si="56"/>
        <v>8700</v>
      </c>
    </row>
    <row r="656">
      <c r="A656" s="6">
        <v>2025.0</v>
      </c>
      <c r="B656" s="6" t="s">
        <v>166</v>
      </c>
      <c r="C656" s="1">
        <f t="shared" si="1"/>
        <v>9</v>
      </c>
      <c r="D656" s="2" t="s">
        <v>65</v>
      </c>
      <c r="E656" s="6">
        <f t="shared" si="2"/>
        <v>2</v>
      </c>
      <c r="F656" s="6" t="s">
        <v>30</v>
      </c>
      <c r="G656" s="6" t="s">
        <v>18</v>
      </c>
      <c r="H656" s="6" t="s">
        <v>49</v>
      </c>
      <c r="I656" s="6" t="s">
        <v>172</v>
      </c>
      <c r="K656" s="3" t="b">
        <f t="shared" si="3"/>
        <v>0</v>
      </c>
      <c r="L656" s="3">
        <v>835.0</v>
      </c>
      <c r="N656" s="7">
        <v>4380.0</v>
      </c>
      <c r="O656" s="7">
        <f>N656*L656/1000</f>
        <v>3657.3</v>
      </c>
    </row>
    <row r="657">
      <c r="A657" s="6">
        <v>2025.0</v>
      </c>
      <c r="B657" s="6" t="s">
        <v>166</v>
      </c>
      <c r="C657" s="1">
        <f t="shared" si="1"/>
        <v>9</v>
      </c>
      <c r="D657" s="2" t="s">
        <v>65</v>
      </c>
      <c r="E657" s="6">
        <f t="shared" si="2"/>
        <v>2</v>
      </c>
      <c r="F657" s="6" t="s">
        <v>30</v>
      </c>
      <c r="G657" s="6" t="s">
        <v>18</v>
      </c>
      <c r="H657" s="6" t="s">
        <v>24</v>
      </c>
      <c r="I657" s="6" t="s">
        <v>42</v>
      </c>
      <c r="K657" s="3" t="b">
        <f t="shared" si="3"/>
        <v>0</v>
      </c>
      <c r="L657" s="3">
        <v>400.0</v>
      </c>
      <c r="M657" s="6">
        <v>1.0</v>
      </c>
      <c r="N657" s="7">
        <v>21990.0</v>
      </c>
      <c r="O657" s="7">
        <f t="shared" ref="O657:O659" si="57">N657*M657</f>
        <v>21990</v>
      </c>
    </row>
    <row r="658">
      <c r="A658" s="6">
        <v>2025.0</v>
      </c>
      <c r="B658" s="6" t="s">
        <v>166</v>
      </c>
      <c r="C658" s="1">
        <f t="shared" si="1"/>
        <v>9</v>
      </c>
      <c r="D658" s="2" t="s">
        <v>65</v>
      </c>
      <c r="E658" s="6">
        <f t="shared" si="2"/>
        <v>2</v>
      </c>
      <c r="F658" s="6" t="s">
        <v>30</v>
      </c>
      <c r="G658" s="6" t="s">
        <v>18</v>
      </c>
      <c r="H658" s="6" t="s">
        <v>92</v>
      </c>
      <c r="I658" s="6" t="s">
        <v>122</v>
      </c>
      <c r="K658" s="3" t="b">
        <f t="shared" si="3"/>
        <v>0</v>
      </c>
      <c r="L658" s="3">
        <v>500.0</v>
      </c>
      <c r="M658" s="6">
        <v>1.0</v>
      </c>
      <c r="N658" s="7">
        <v>1500.0</v>
      </c>
      <c r="O658" s="7">
        <f t="shared" si="57"/>
        <v>1500</v>
      </c>
    </row>
    <row r="659">
      <c r="A659" s="6">
        <v>2025.0</v>
      </c>
      <c r="B659" s="6" t="s">
        <v>166</v>
      </c>
      <c r="C659" s="1">
        <f t="shared" si="1"/>
        <v>9</v>
      </c>
      <c r="D659" s="2" t="s">
        <v>65</v>
      </c>
      <c r="E659" s="6">
        <f t="shared" si="2"/>
        <v>2</v>
      </c>
      <c r="F659" s="6" t="s">
        <v>30</v>
      </c>
      <c r="G659" s="6" t="s">
        <v>18</v>
      </c>
      <c r="H659" s="6" t="s">
        <v>19</v>
      </c>
      <c r="I659" s="6" t="s">
        <v>129</v>
      </c>
      <c r="K659" s="3" t="b">
        <f t="shared" si="3"/>
        <v>0</v>
      </c>
      <c r="L659" s="3">
        <v>1000.0</v>
      </c>
      <c r="M659" s="6">
        <v>1.0</v>
      </c>
      <c r="N659" s="7">
        <v>22990.0</v>
      </c>
      <c r="O659" s="7">
        <f t="shared" si="57"/>
        <v>22990</v>
      </c>
    </row>
    <row r="660">
      <c r="A660" s="6">
        <v>2025.0</v>
      </c>
      <c r="B660" s="6" t="s">
        <v>166</v>
      </c>
      <c r="C660" s="1">
        <f t="shared" si="1"/>
        <v>9</v>
      </c>
      <c r="D660" s="2" t="s">
        <v>65</v>
      </c>
      <c r="E660" s="6">
        <f t="shared" si="2"/>
        <v>2</v>
      </c>
      <c r="F660" s="6" t="s">
        <v>30</v>
      </c>
      <c r="G660" s="6" t="s">
        <v>18</v>
      </c>
      <c r="H660" s="6" t="s">
        <v>33</v>
      </c>
      <c r="I660" s="6" t="s">
        <v>70</v>
      </c>
      <c r="K660" s="3" t="b">
        <f t="shared" si="3"/>
        <v>0</v>
      </c>
      <c r="L660" s="3">
        <v>2395.0</v>
      </c>
      <c r="N660" s="7">
        <v>2380.0</v>
      </c>
      <c r="O660" s="7">
        <f t="shared" ref="O660:O661" si="58">N660*L660/1000</f>
        <v>5700.1</v>
      </c>
    </row>
    <row r="661">
      <c r="A661" s="6">
        <v>2025.0</v>
      </c>
      <c r="B661" s="6" t="s">
        <v>166</v>
      </c>
      <c r="C661" s="1">
        <f t="shared" si="1"/>
        <v>9</v>
      </c>
      <c r="D661" s="2" t="s">
        <v>65</v>
      </c>
      <c r="E661" s="6">
        <f t="shared" si="2"/>
        <v>2</v>
      </c>
      <c r="F661" s="6" t="s">
        <v>30</v>
      </c>
      <c r="G661" s="6" t="s">
        <v>18</v>
      </c>
      <c r="H661" s="6" t="s">
        <v>49</v>
      </c>
      <c r="I661" s="6" t="s">
        <v>62</v>
      </c>
      <c r="K661" s="3" t="b">
        <f t="shared" si="3"/>
        <v>0</v>
      </c>
      <c r="L661" s="3">
        <v>3155.0</v>
      </c>
      <c r="N661" s="7">
        <v>3980.0</v>
      </c>
      <c r="O661" s="7">
        <f t="shared" si="58"/>
        <v>12556.9</v>
      </c>
    </row>
    <row r="662">
      <c r="A662" s="6">
        <v>2025.0</v>
      </c>
      <c r="B662" s="6" t="s">
        <v>166</v>
      </c>
      <c r="C662" s="1">
        <f t="shared" si="1"/>
        <v>9</v>
      </c>
      <c r="D662" s="2" t="s">
        <v>65</v>
      </c>
      <c r="E662" s="6">
        <f t="shared" si="2"/>
        <v>2</v>
      </c>
      <c r="F662" s="6" t="s">
        <v>30</v>
      </c>
      <c r="G662" s="6" t="s">
        <v>18</v>
      </c>
      <c r="H662" s="6" t="s">
        <v>27</v>
      </c>
      <c r="I662" s="6" t="s">
        <v>40</v>
      </c>
      <c r="K662" s="3" t="b">
        <f t="shared" si="3"/>
        <v>0</v>
      </c>
      <c r="L662" s="3">
        <v>2500.0</v>
      </c>
      <c r="M662" s="6">
        <v>1.0</v>
      </c>
      <c r="N662" s="7">
        <v>8990.0</v>
      </c>
      <c r="O662" s="7">
        <f t="shared" ref="O662:O667" si="59">N662*M662</f>
        <v>8990</v>
      </c>
    </row>
    <row r="663">
      <c r="A663" s="6">
        <v>2025.0</v>
      </c>
      <c r="B663" s="6" t="s">
        <v>166</v>
      </c>
      <c r="C663" s="1">
        <f t="shared" si="1"/>
        <v>9</v>
      </c>
      <c r="D663" s="2" t="s">
        <v>65</v>
      </c>
      <c r="E663" s="6">
        <f t="shared" si="2"/>
        <v>2</v>
      </c>
      <c r="F663" s="6" t="s">
        <v>30</v>
      </c>
      <c r="G663" s="6" t="s">
        <v>18</v>
      </c>
      <c r="H663" s="6" t="s">
        <v>37</v>
      </c>
      <c r="I663" s="6" t="s">
        <v>38</v>
      </c>
      <c r="K663" s="3" t="b">
        <f t="shared" si="3"/>
        <v>0</v>
      </c>
      <c r="L663" s="3">
        <v>142.0</v>
      </c>
      <c r="M663" s="6">
        <v>4.0</v>
      </c>
      <c r="N663" s="7">
        <v>5400.0</v>
      </c>
      <c r="O663" s="7">
        <f t="shared" si="59"/>
        <v>21600</v>
      </c>
    </row>
    <row r="664">
      <c r="A664" s="6">
        <v>2025.0</v>
      </c>
      <c r="B664" s="6" t="s">
        <v>166</v>
      </c>
      <c r="C664" s="1">
        <f t="shared" si="1"/>
        <v>9</v>
      </c>
      <c r="D664" s="2" t="s">
        <v>65</v>
      </c>
      <c r="E664" s="6">
        <f t="shared" si="2"/>
        <v>2</v>
      </c>
      <c r="F664" s="6" t="s">
        <v>30</v>
      </c>
      <c r="G664" s="6" t="s">
        <v>18</v>
      </c>
      <c r="H664" s="6" t="s">
        <v>52</v>
      </c>
      <c r="I664" s="6" t="s">
        <v>54</v>
      </c>
      <c r="K664" s="3" t="b">
        <f t="shared" si="3"/>
        <v>0</v>
      </c>
      <c r="L664" s="3">
        <v>500.0</v>
      </c>
      <c r="M664" s="6">
        <v>1.0</v>
      </c>
      <c r="N664" s="7">
        <v>4290.0</v>
      </c>
      <c r="O664" s="7">
        <f t="shared" si="59"/>
        <v>4290</v>
      </c>
    </row>
    <row r="665">
      <c r="A665" s="6">
        <v>2025.0</v>
      </c>
      <c r="B665" s="6" t="s">
        <v>166</v>
      </c>
      <c r="C665" s="1">
        <f t="shared" si="1"/>
        <v>9</v>
      </c>
      <c r="D665" s="2" t="s">
        <v>65</v>
      </c>
      <c r="E665" s="6">
        <f t="shared" si="2"/>
        <v>2</v>
      </c>
      <c r="F665" s="6" t="s">
        <v>30</v>
      </c>
      <c r="G665" s="6" t="s">
        <v>18</v>
      </c>
      <c r="H665" s="6" t="s">
        <v>27</v>
      </c>
      <c r="I665" s="6" t="s">
        <v>112</v>
      </c>
      <c r="K665" s="3" t="b">
        <f t="shared" si="3"/>
        <v>0</v>
      </c>
      <c r="L665" s="3">
        <v>55.0</v>
      </c>
      <c r="M665" s="6">
        <v>1.0</v>
      </c>
      <c r="N665" s="7">
        <v>1990.0</v>
      </c>
      <c r="O665" s="7">
        <f t="shared" si="59"/>
        <v>1990</v>
      </c>
    </row>
    <row r="666">
      <c r="A666" s="6">
        <v>2025.0</v>
      </c>
      <c r="B666" s="6" t="s">
        <v>166</v>
      </c>
      <c r="C666" s="1">
        <f t="shared" si="1"/>
        <v>9</v>
      </c>
      <c r="D666" s="2" t="s">
        <v>65</v>
      </c>
      <c r="E666" s="6">
        <f t="shared" si="2"/>
        <v>2</v>
      </c>
      <c r="F666" s="6" t="s">
        <v>30</v>
      </c>
      <c r="G666" s="6" t="s">
        <v>18</v>
      </c>
      <c r="H666" s="6" t="s">
        <v>52</v>
      </c>
      <c r="I666" s="6" t="s">
        <v>55</v>
      </c>
      <c r="K666" s="3" t="b">
        <f t="shared" si="3"/>
        <v>0</v>
      </c>
      <c r="L666" s="3">
        <v>500.0</v>
      </c>
      <c r="M666" s="6">
        <v>1.0</v>
      </c>
      <c r="N666" s="7">
        <v>2850.0</v>
      </c>
      <c r="O666" s="7">
        <f t="shared" si="59"/>
        <v>2850</v>
      </c>
    </row>
    <row r="667">
      <c r="A667" s="6">
        <v>2025.0</v>
      </c>
      <c r="B667" s="6" t="s">
        <v>166</v>
      </c>
      <c r="C667" s="1">
        <f t="shared" si="1"/>
        <v>9</v>
      </c>
      <c r="D667" s="2" t="s">
        <v>65</v>
      </c>
      <c r="E667" s="6">
        <f t="shared" si="2"/>
        <v>2</v>
      </c>
      <c r="F667" s="6" t="s">
        <v>30</v>
      </c>
      <c r="G667" s="6" t="s">
        <v>18</v>
      </c>
      <c r="H667" s="6" t="s">
        <v>52</v>
      </c>
      <c r="I667" s="6" t="s">
        <v>130</v>
      </c>
      <c r="K667" s="3" t="b">
        <f t="shared" si="3"/>
        <v>0</v>
      </c>
      <c r="L667" s="3">
        <v>500.0</v>
      </c>
      <c r="M667" s="6">
        <v>1.0</v>
      </c>
      <c r="N667" s="7">
        <v>2800.0</v>
      </c>
      <c r="O667" s="7">
        <f t="shared" si="59"/>
        <v>2800</v>
      </c>
    </row>
    <row r="668">
      <c r="A668" s="6">
        <v>2025.0</v>
      </c>
      <c r="B668" s="6" t="s">
        <v>166</v>
      </c>
      <c r="C668" s="1">
        <f t="shared" si="1"/>
        <v>9</v>
      </c>
      <c r="D668" s="2" t="s">
        <v>65</v>
      </c>
      <c r="E668" s="6">
        <f t="shared" si="2"/>
        <v>2</v>
      </c>
      <c r="F668" s="6" t="s">
        <v>30</v>
      </c>
      <c r="G668" s="6" t="s">
        <v>18</v>
      </c>
      <c r="H668" s="6" t="s">
        <v>37</v>
      </c>
      <c r="I668" s="6" t="s">
        <v>60</v>
      </c>
      <c r="K668" s="3" t="b">
        <f t="shared" si="3"/>
        <v>0</v>
      </c>
      <c r="L668" s="3">
        <v>6680.0</v>
      </c>
      <c r="N668" s="7">
        <v>10980.0</v>
      </c>
      <c r="O668" s="7">
        <f t="shared" ref="O668:O683" si="60">N668*L668/1000</f>
        <v>73346.4</v>
      </c>
    </row>
    <row r="669">
      <c r="A669" s="6">
        <v>2025.0</v>
      </c>
      <c r="B669" s="6" t="s">
        <v>166</v>
      </c>
      <c r="C669" s="1">
        <f t="shared" si="1"/>
        <v>9</v>
      </c>
      <c r="D669" s="2" t="s">
        <v>65</v>
      </c>
      <c r="E669" s="6">
        <f t="shared" si="2"/>
        <v>2</v>
      </c>
      <c r="F669" s="6" t="s">
        <v>30</v>
      </c>
      <c r="G669" s="6" t="s">
        <v>18</v>
      </c>
      <c r="H669" s="6" t="s">
        <v>37</v>
      </c>
      <c r="I669" s="6" t="s">
        <v>45</v>
      </c>
      <c r="K669" s="3" t="b">
        <f t="shared" si="3"/>
        <v>0</v>
      </c>
      <c r="L669" s="3">
        <v>814.0</v>
      </c>
      <c r="N669" s="7">
        <v>16780.0</v>
      </c>
      <c r="O669" s="7">
        <f t="shared" si="60"/>
        <v>13658.92</v>
      </c>
    </row>
    <row r="670">
      <c r="A670" s="6">
        <v>2025.0</v>
      </c>
      <c r="B670" s="6" t="s">
        <v>166</v>
      </c>
      <c r="C670" s="1">
        <f t="shared" si="1"/>
        <v>9</v>
      </c>
      <c r="D670" s="2" t="s">
        <v>65</v>
      </c>
      <c r="E670" s="6">
        <f t="shared" si="2"/>
        <v>2</v>
      </c>
      <c r="F670" s="6" t="s">
        <v>30</v>
      </c>
      <c r="G670" s="6" t="s">
        <v>18</v>
      </c>
      <c r="H670" s="6" t="s">
        <v>37</v>
      </c>
      <c r="I670" s="6" t="s">
        <v>67</v>
      </c>
      <c r="K670" s="3" t="b">
        <f t="shared" si="3"/>
        <v>0</v>
      </c>
      <c r="L670" s="3">
        <v>1000.0</v>
      </c>
      <c r="N670" s="7">
        <v>22580.0</v>
      </c>
      <c r="O670" s="7">
        <f t="shared" si="60"/>
        <v>22580</v>
      </c>
    </row>
    <row r="671">
      <c r="A671" s="6">
        <v>2025.0</v>
      </c>
      <c r="B671" s="6" t="s">
        <v>166</v>
      </c>
      <c r="C671" s="1">
        <f t="shared" si="1"/>
        <v>9</v>
      </c>
      <c r="D671" s="2" t="s">
        <v>65</v>
      </c>
      <c r="E671" s="6">
        <f t="shared" si="2"/>
        <v>2</v>
      </c>
      <c r="F671" s="6" t="s">
        <v>30</v>
      </c>
      <c r="G671" s="6" t="s">
        <v>18</v>
      </c>
      <c r="H671" s="6" t="s">
        <v>37</v>
      </c>
      <c r="I671" s="6" t="s">
        <v>107</v>
      </c>
      <c r="K671" s="3" t="b">
        <f t="shared" si="3"/>
        <v>0</v>
      </c>
      <c r="L671" s="3">
        <v>980.0</v>
      </c>
      <c r="N671" s="7">
        <v>27380.0</v>
      </c>
      <c r="O671" s="7">
        <f t="shared" si="60"/>
        <v>26832.4</v>
      </c>
    </row>
    <row r="672">
      <c r="A672" s="6">
        <v>2025.0</v>
      </c>
      <c r="B672" s="6" t="s">
        <v>166</v>
      </c>
      <c r="C672" s="1">
        <f t="shared" si="1"/>
        <v>9</v>
      </c>
      <c r="D672" s="2" t="s">
        <v>65</v>
      </c>
      <c r="E672" s="6">
        <f t="shared" si="2"/>
        <v>2</v>
      </c>
      <c r="F672" s="6" t="s">
        <v>30</v>
      </c>
      <c r="G672" s="6" t="s">
        <v>18</v>
      </c>
      <c r="H672" s="6" t="s">
        <v>37</v>
      </c>
      <c r="I672" s="6" t="s">
        <v>47</v>
      </c>
      <c r="K672" s="3" t="b">
        <f t="shared" si="3"/>
        <v>0</v>
      </c>
      <c r="L672" s="3">
        <v>992.0</v>
      </c>
      <c r="N672" s="7">
        <v>32980.0</v>
      </c>
      <c r="O672" s="7">
        <f t="shared" si="60"/>
        <v>32716.16</v>
      </c>
    </row>
    <row r="673">
      <c r="A673" s="6">
        <v>2025.0</v>
      </c>
      <c r="B673" s="6" t="s">
        <v>166</v>
      </c>
      <c r="C673" s="1">
        <f t="shared" si="1"/>
        <v>9</v>
      </c>
      <c r="D673" s="2" t="s">
        <v>65</v>
      </c>
      <c r="E673" s="6">
        <f t="shared" si="2"/>
        <v>2</v>
      </c>
      <c r="F673" s="6" t="s">
        <v>30</v>
      </c>
      <c r="G673" s="6" t="s">
        <v>18</v>
      </c>
      <c r="H673" s="6" t="s">
        <v>37</v>
      </c>
      <c r="I673" s="6" t="s">
        <v>68</v>
      </c>
      <c r="K673" s="3" t="b">
        <f t="shared" si="3"/>
        <v>0</v>
      </c>
      <c r="L673" s="3">
        <v>990.0</v>
      </c>
      <c r="N673" s="7">
        <v>26980.0</v>
      </c>
      <c r="O673" s="7">
        <f t="shared" si="60"/>
        <v>26710.2</v>
      </c>
    </row>
    <row r="674">
      <c r="A674" s="6">
        <v>2025.0</v>
      </c>
      <c r="B674" s="6" t="s">
        <v>166</v>
      </c>
      <c r="C674" s="1">
        <f t="shared" si="1"/>
        <v>9</v>
      </c>
      <c r="D674" s="2" t="s">
        <v>65</v>
      </c>
      <c r="E674" s="6">
        <f t="shared" si="2"/>
        <v>2</v>
      </c>
      <c r="F674" s="6" t="s">
        <v>30</v>
      </c>
      <c r="G674" s="6" t="s">
        <v>18</v>
      </c>
      <c r="H674" s="6" t="s">
        <v>33</v>
      </c>
      <c r="I674" s="6" t="s">
        <v>59</v>
      </c>
      <c r="K674" s="3" t="b">
        <f t="shared" si="3"/>
        <v>0</v>
      </c>
      <c r="L674" s="3">
        <v>1400.0</v>
      </c>
      <c r="N674" s="7">
        <v>2580.0</v>
      </c>
      <c r="O674" s="7">
        <f t="shared" si="60"/>
        <v>3612</v>
      </c>
    </row>
    <row r="675">
      <c r="A675" s="6">
        <v>2025.0</v>
      </c>
      <c r="B675" s="6" t="s">
        <v>166</v>
      </c>
      <c r="C675" s="1">
        <f t="shared" si="1"/>
        <v>9</v>
      </c>
      <c r="D675" s="2" t="s">
        <v>65</v>
      </c>
      <c r="E675" s="6">
        <f t="shared" si="2"/>
        <v>2</v>
      </c>
      <c r="F675" s="6" t="s">
        <v>30</v>
      </c>
      <c r="G675" s="6" t="s">
        <v>18</v>
      </c>
      <c r="H675" s="6" t="s">
        <v>33</v>
      </c>
      <c r="I675" s="6" t="s">
        <v>56</v>
      </c>
      <c r="K675" s="3" t="b">
        <f t="shared" si="3"/>
        <v>0</v>
      </c>
      <c r="L675" s="3">
        <v>870.0</v>
      </c>
      <c r="N675" s="7">
        <v>3900.0</v>
      </c>
      <c r="O675" s="7">
        <f t="shared" si="60"/>
        <v>3393</v>
      </c>
    </row>
    <row r="676">
      <c r="A676" s="6">
        <v>2025.0</v>
      </c>
      <c r="B676" s="6" t="s">
        <v>166</v>
      </c>
      <c r="C676" s="1">
        <f t="shared" si="1"/>
        <v>9</v>
      </c>
      <c r="D676" s="2" t="s">
        <v>65</v>
      </c>
      <c r="E676" s="6">
        <f t="shared" si="2"/>
        <v>2</v>
      </c>
      <c r="F676" s="6" t="s">
        <v>30</v>
      </c>
      <c r="G676" s="6" t="s">
        <v>18</v>
      </c>
      <c r="H676" s="6" t="s">
        <v>49</v>
      </c>
      <c r="I676" s="6" t="s">
        <v>71</v>
      </c>
      <c r="K676" s="3" t="b">
        <f t="shared" si="3"/>
        <v>0</v>
      </c>
      <c r="L676" s="3">
        <v>540.0</v>
      </c>
      <c r="N676" s="7">
        <v>4780.0</v>
      </c>
      <c r="O676" s="7">
        <f t="shared" si="60"/>
        <v>2581.2</v>
      </c>
    </row>
    <row r="677">
      <c r="A677" s="6">
        <v>2025.0</v>
      </c>
      <c r="B677" s="6" t="s">
        <v>166</v>
      </c>
      <c r="C677" s="1">
        <f t="shared" si="1"/>
        <v>9</v>
      </c>
      <c r="D677" s="2" t="s">
        <v>65</v>
      </c>
      <c r="E677" s="6">
        <f t="shared" si="2"/>
        <v>2</v>
      </c>
      <c r="F677" s="6" t="s">
        <v>30</v>
      </c>
      <c r="G677" s="6" t="s">
        <v>18</v>
      </c>
      <c r="H677" s="6" t="s">
        <v>49</v>
      </c>
      <c r="I677" s="6" t="s">
        <v>50</v>
      </c>
      <c r="K677" s="3" t="b">
        <f t="shared" si="3"/>
        <v>0</v>
      </c>
      <c r="L677" s="3">
        <v>3325.0</v>
      </c>
      <c r="N677" s="7">
        <v>3180.0</v>
      </c>
      <c r="O677" s="7">
        <f t="shared" si="60"/>
        <v>10573.5</v>
      </c>
    </row>
    <row r="678">
      <c r="A678" s="6">
        <v>2025.0</v>
      </c>
      <c r="B678" s="6" t="s">
        <v>166</v>
      </c>
      <c r="C678" s="1">
        <f t="shared" si="1"/>
        <v>9</v>
      </c>
      <c r="D678" s="2" t="s">
        <v>65</v>
      </c>
      <c r="E678" s="6">
        <f t="shared" si="2"/>
        <v>2</v>
      </c>
      <c r="F678" s="6" t="s">
        <v>30</v>
      </c>
      <c r="G678" s="6" t="s">
        <v>18</v>
      </c>
      <c r="H678" s="6" t="s">
        <v>49</v>
      </c>
      <c r="I678" s="6" t="s">
        <v>74</v>
      </c>
      <c r="K678" s="3" t="b">
        <f t="shared" si="3"/>
        <v>0</v>
      </c>
      <c r="L678" s="3">
        <v>1950.0</v>
      </c>
      <c r="N678" s="7">
        <v>1300.0</v>
      </c>
      <c r="O678" s="7">
        <f t="shared" si="60"/>
        <v>2535</v>
      </c>
    </row>
    <row r="679">
      <c r="A679" s="6">
        <v>2025.0</v>
      </c>
      <c r="B679" s="6" t="s">
        <v>166</v>
      </c>
      <c r="C679" s="1">
        <f t="shared" si="1"/>
        <v>9</v>
      </c>
      <c r="D679" s="2" t="s">
        <v>65</v>
      </c>
      <c r="E679" s="6">
        <f t="shared" si="2"/>
        <v>2</v>
      </c>
      <c r="F679" s="6" t="s">
        <v>30</v>
      </c>
      <c r="G679" s="6" t="s">
        <v>18</v>
      </c>
      <c r="H679" s="6" t="s">
        <v>49</v>
      </c>
      <c r="I679" s="6" t="s">
        <v>153</v>
      </c>
      <c r="K679" s="3" t="b">
        <f t="shared" si="3"/>
        <v>0</v>
      </c>
      <c r="L679" s="3">
        <v>495.0</v>
      </c>
      <c r="N679" s="7">
        <v>4780.0</v>
      </c>
      <c r="O679" s="7">
        <f t="shared" si="60"/>
        <v>2366.1</v>
      </c>
    </row>
    <row r="680">
      <c r="A680" s="6">
        <v>2025.0</v>
      </c>
      <c r="B680" s="6" t="s">
        <v>166</v>
      </c>
      <c r="C680" s="1">
        <f t="shared" si="1"/>
        <v>9</v>
      </c>
      <c r="D680" s="2" t="s">
        <v>65</v>
      </c>
      <c r="E680" s="6">
        <f t="shared" si="2"/>
        <v>2</v>
      </c>
      <c r="F680" s="6" t="s">
        <v>30</v>
      </c>
      <c r="G680" s="6" t="s">
        <v>18</v>
      </c>
      <c r="H680" s="6" t="s">
        <v>49</v>
      </c>
      <c r="I680" s="6" t="s">
        <v>142</v>
      </c>
      <c r="K680" s="3" t="b">
        <f t="shared" si="3"/>
        <v>0</v>
      </c>
      <c r="L680" s="3">
        <v>290.0</v>
      </c>
      <c r="N680" s="7">
        <v>4980.0</v>
      </c>
      <c r="O680" s="7">
        <f t="shared" si="60"/>
        <v>1444.2</v>
      </c>
    </row>
    <row r="681">
      <c r="A681" s="6">
        <v>2025.0</v>
      </c>
      <c r="B681" s="6" t="s">
        <v>166</v>
      </c>
      <c r="C681" s="1">
        <f t="shared" si="1"/>
        <v>9</v>
      </c>
      <c r="D681" s="2" t="s">
        <v>65</v>
      </c>
      <c r="E681" s="6">
        <f t="shared" si="2"/>
        <v>2</v>
      </c>
      <c r="F681" s="6" t="s">
        <v>30</v>
      </c>
      <c r="G681" s="6" t="s">
        <v>18</v>
      </c>
      <c r="H681" s="6" t="s">
        <v>49</v>
      </c>
      <c r="I681" s="6" t="s">
        <v>63</v>
      </c>
      <c r="K681" s="3" t="b">
        <f t="shared" si="3"/>
        <v>0</v>
      </c>
      <c r="L681" s="3">
        <v>605.0</v>
      </c>
      <c r="N681" s="7">
        <v>5780.0</v>
      </c>
      <c r="O681" s="7">
        <f t="shared" si="60"/>
        <v>3496.9</v>
      </c>
    </row>
    <row r="682">
      <c r="A682" s="6">
        <v>2025.0</v>
      </c>
      <c r="B682" s="6" t="s">
        <v>166</v>
      </c>
      <c r="C682" s="1">
        <f t="shared" si="1"/>
        <v>9</v>
      </c>
      <c r="D682" s="2" t="s">
        <v>65</v>
      </c>
      <c r="E682" s="6">
        <f t="shared" si="2"/>
        <v>2</v>
      </c>
      <c r="F682" s="6" t="s">
        <v>30</v>
      </c>
      <c r="G682" s="6" t="s">
        <v>18</v>
      </c>
      <c r="H682" s="6" t="s">
        <v>49</v>
      </c>
      <c r="I682" s="6" t="s">
        <v>72</v>
      </c>
      <c r="K682" s="3" t="b">
        <f t="shared" si="3"/>
        <v>0</v>
      </c>
      <c r="L682" s="3">
        <v>270.0</v>
      </c>
      <c r="N682" s="7">
        <v>7580.0</v>
      </c>
      <c r="O682" s="7">
        <f t="shared" si="60"/>
        <v>2046.6</v>
      </c>
    </row>
    <row r="683">
      <c r="A683" s="6">
        <v>2025.0</v>
      </c>
      <c r="B683" s="6" t="s">
        <v>166</v>
      </c>
      <c r="C683" s="1">
        <f t="shared" si="1"/>
        <v>9</v>
      </c>
      <c r="D683" s="2" t="s">
        <v>65</v>
      </c>
      <c r="E683" s="6">
        <f t="shared" si="2"/>
        <v>2</v>
      </c>
      <c r="F683" s="6" t="s">
        <v>30</v>
      </c>
      <c r="G683" s="6" t="s">
        <v>18</v>
      </c>
      <c r="H683" s="6" t="s">
        <v>49</v>
      </c>
      <c r="I683" s="6" t="s">
        <v>57</v>
      </c>
      <c r="K683" s="3" t="b">
        <f t="shared" si="3"/>
        <v>0</v>
      </c>
      <c r="L683" s="3">
        <v>1140.0</v>
      </c>
      <c r="N683" s="7">
        <v>3700.0</v>
      </c>
      <c r="O683" s="7">
        <f t="shared" si="60"/>
        <v>4218</v>
      </c>
    </row>
    <row r="684">
      <c r="A684" s="6">
        <v>2025.0</v>
      </c>
      <c r="B684" s="6" t="s">
        <v>173</v>
      </c>
      <c r="C684" s="1">
        <f t="shared" si="1"/>
        <v>10</v>
      </c>
      <c r="D684" s="2" t="s">
        <v>16</v>
      </c>
      <c r="E684" s="6">
        <f t="shared" si="2"/>
        <v>1</v>
      </c>
      <c r="F684" s="6" t="s">
        <v>17</v>
      </c>
      <c r="G684" s="6" t="s">
        <v>83</v>
      </c>
      <c r="H684" s="6" t="s">
        <v>80</v>
      </c>
      <c r="I684" s="6" t="s">
        <v>102</v>
      </c>
      <c r="K684" s="3" t="b">
        <f t="shared" si="3"/>
        <v>0</v>
      </c>
      <c r="L684" s="8"/>
      <c r="M684" s="6">
        <v>1.0</v>
      </c>
      <c r="N684" s="9">
        <v>1650.0</v>
      </c>
      <c r="O684" s="7">
        <f t="shared" ref="O684:O701" si="61">N684*M684</f>
        <v>1650</v>
      </c>
    </row>
    <row r="685">
      <c r="A685" s="6">
        <v>2025.0</v>
      </c>
      <c r="B685" s="6" t="s">
        <v>173</v>
      </c>
      <c r="C685" s="1">
        <f t="shared" si="1"/>
        <v>10</v>
      </c>
      <c r="D685" s="2" t="s">
        <v>16</v>
      </c>
      <c r="E685" s="6">
        <f t="shared" si="2"/>
        <v>1</v>
      </c>
      <c r="F685" s="6" t="s">
        <v>17</v>
      </c>
      <c r="G685" s="6" t="s">
        <v>83</v>
      </c>
      <c r="H685" s="6" t="s">
        <v>89</v>
      </c>
      <c r="I685" s="6" t="s">
        <v>99</v>
      </c>
      <c r="K685" s="3" t="b">
        <f t="shared" si="3"/>
        <v>0</v>
      </c>
      <c r="L685" s="3">
        <v>500.0</v>
      </c>
      <c r="M685" s="6">
        <v>1.0</v>
      </c>
      <c r="N685" s="9">
        <v>2600.0</v>
      </c>
      <c r="O685" s="7">
        <f t="shared" si="61"/>
        <v>2600</v>
      </c>
    </row>
    <row r="686">
      <c r="A686" s="6">
        <v>2025.0</v>
      </c>
      <c r="B686" s="6" t="s">
        <v>173</v>
      </c>
      <c r="C686" s="1">
        <f t="shared" si="1"/>
        <v>10</v>
      </c>
      <c r="D686" s="2" t="s">
        <v>16</v>
      </c>
      <c r="E686" s="6">
        <f t="shared" si="2"/>
        <v>1</v>
      </c>
      <c r="F686" s="6" t="s">
        <v>17</v>
      </c>
      <c r="G686" s="6" t="s">
        <v>83</v>
      </c>
      <c r="H686" s="6" t="s">
        <v>80</v>
      </c>
      <c r="I686" s="6" t="s">
        <v>147</v>
      </c>
      <c r="J686" s="11"/>
      <c r="K686" s="3" t="b">
        <f t="shared" si="3"/>
        <v>0</v>
      </c>
      <c r="L686" s="12"/>
      <c r="M686" s="6">
        <v>1.0</v>
      </c>
      <c r="N686" s="7">
        <v>2200.0</v>
      </c>
      <c r="O686" s="7">
        <f t="shared" si="61"/>
        <v>2200</v>
      </c>
    </row>
    <row r="687">
      <c r="A687" s="6">
        <v>2025.0</v>
      </c>
      <c r="B687" s="6" t="s">
        <v>173</v>
      </c>
      <c r="C687" s="1">
        <f t="shared" si="1"/>
        <v>10</v>
      </c>
      <c r="D687" s="2" t="s">
        <v>16</v>
      </c>
      <c r="E687" s="6">
        <f t="shared" si="2"/>
        <v>1</v>
      </c>
      <c r="F687" s="6" t="s">
        <v>17</v>
      </c>
      <c r="G687" s="6" t="s">
        <v>79</v>
      </c>
      <c r="H687" s="6" t="s">
        <v>96</v>
      </c>
      <c r="I687" s="6" t="s">
        <v>97</v>
      </c>
      <c r="K687" s="3" t="b">
        <f t="shared" si="3"/>
        <v>0</v>
      </c>
      <c r="L687" s="8"/>
      <c r="M687" s="6">
        <v>1.0</v>
      </c>
      <c r="N687" s="9">
        <v>5350.0</v>
      </c>
      <c r="O687" s="7">
        <f t="shared" si="61"/>
        <v>5350</v>
      </c>
    </row>
    <row r="688">
      <c r="A688" s="6">
        <v>2025.0</v>
      </c>
      <c r="B688" s="6" t="s">
        <v>173</v>
      </c>
      <c r="C688" s="1">
        <f t="shared" si="1"/>
        <v>10</v>
      </c>
      <c r="D688" s="2" t="s">
        <v>16</v>
      </c>
      <c r="E688" s="6">
        <f t="shared" si="2"/>
        <v>1</v>
      </c>
      <c r="F688" s="6" t="s">
        <v>17</v>
      </c>
      <c r="G688" s="6" t="s">
        <v>79</v>
      </c>
      <c r="H688" s="6" t="s">
        <v>96</v>
      </c>
      <c r="I688" s="6" t="s">
        <v>126</v>
      </c>
      <c r="K688" s="3" t="b">
        <f t="shared" si="3"/>
        <v>0</v>
      </c>
      <c r="L688" s="8"/>
      <c r="M688" s="6">
        <v>1.0</v>
      </c>
      <c r="N688" s="10">
        <v>2900.0</v>
      </c>
      <c r="O688" s="7">
        <f t="shared" si="61"/>
        <v>2900</v>
      </c>
    </row>
    <row r="689">
      <c r="A689" s="6">
        <v>2025.0</v>
      </c>
      <c r="B689" s="6" t="s">
        <v>173</v>
      </c>
      <c r="C689" s="1">
        <f t="shared" si="1"/>
        <v>10</v>
      </c>
      <c r="D689" s="2" t="s">
        <v>16</v>
      </c>
      <c r="E689" s="6">
        <f t="shared" si="2"/>
        <v>1</v>
      </c>
      <c r="F689" s="6" t="s">
        <v>17</v>
      </c>
      <c r="G689" s="6" t="s">
        <v>18</v>
      </c>
      <c r="H689" s="6" t="s">
        <v>27</v>
      </c>
      <c r="I689" s="6" t="s">
        <v>100</v>
      </c>
      <c r="K689" s="3" t="b">
        <f t="shared" si="3"/>
        <v>0</v>
      </c>
      <c r="L689" s="8"/>
      <c r="M689" s="6">
        <v>1.0</v>
      </c>
      <c r="N689" s="9">
        <v>3790.0</v>
      </c>
      <c r="O689" s="7">
        <f t="shared" si="61"/>
        <v>3790</v>
      </c>
    </row>
    <row r="690">
      <c r="A690" s="6">
        <v>2025.0</v>
      </c>
      <c r="B690" s="6" t="s">
        <v>173</v>
      </c>
      <c r="C690" s="1">
        <f t="shared" si="1"/>
        <v>10</v>
      </c>
      <c r="D690" s="2" t="s">
        <v>16</v>
      </c>
      <c r="E690" s="6">
        <f t="shared" si="2"/>
        <v>1</v>
      </c>
      <c r="F690" s="6" t="s">
        <v>17</v>
      </c>
      <c r="G690" s="6" t="s">
        <v>18</v>
      </c>
      <c r="H690" s="6" t="s">
        <v>27</v>
      </c>
      <c r="I690" s="6" t="s">
        <v>174</v>
      </c>
      <c r="K690" s="3" t="b">
        <f t="shared" si="3"/>
        <v>0</v>
      </c>
      <c r="L690" s="8"/>
      <c r="M690" s="6">
        <v>1.0</v>
      </c>
      <c r="N690" s="10">
        <v>2150.0</v>
      </c>
      <c r="O690" s="7">
        <f t="shared" si="61"/>
        <v>2150</v>
      </c>
    </row>
    <row r="691">
      <c r="A691" s="6">
        <v>2025.0</v>
      </c>
      <c r="B691" s="6" t="s">
        <v>173</v>
      </c>
      <c r="C691" s="1">
        <f t="shared" si="1"/>
        <v>10</v>
      </c>
      <c r="D691" s="2" t="s">
        <v>16</v>
      </c>
      <c r="E691" s="6">
        <f t="shared" si="2"/>
        <v>1</v>
      </c>
      <c r="F691" s="6" t="s">
        <v>17</v>
      </c>
      <c r="G691" s="6" t="s">
        <v>18</v>
      </c>
      <c r="H691" s="6" t="s">
        <v>37</v>
      </c>
      <c r="I691" s="6" t="s">
        <v>98</v>
      </c>
      <c r="K691" s="3" t="b">
        <f t="shared" si="3"/>
        <v>0</v>
      </c>
      <c r="L691" s="8"/>
      <c r="M691" s="6">
        <v>1.0</v>
      </c>
      <c r="N691" s="9">
        <v>8700.0</v>
      </c>
      <c r="O691" s="7">
        <f t="shared" si="61"/>
        <v>8700</v>
      </c>
    </row>
    <row r="692">
      <c r="A692" s="6">
        <v>2025.0</v>
      </c>
      <c r="B692" s="6" t="s">
        <v>173</v>
      </c>
      <c r="C692" s="1">
        <f t="shared" si="1"/>
        <v>10</v>
      </c>
      <c r="D692" s="2" t="s">
        <v>16</v>
      </c>
      <c r="E692" s="6">
        <f t="shared" si="2"/>
        <v>1</v>
      </c>
      <c r="F692" s="6" t="s">
        <v>17</v>
      </c>
      <c r="G692" s="6" t="s">
        <v>18</v>
      </c>
      <c r="H692" s="6" t="s">
        <v>27</v>
      </c>
      <c r="I692" s="6" t="s">
        <v>101</v>
      </c>
      <c r="K692" s="3" t="b">
        <f t="shared" si="3"/>
        <v>0</v>
      </c>
      <c r="L692" s="8"/>
      <c r="M692" s="6">
        <v>1.0</v>
      </c>
      <c r="N692" s="10">
        <v>4490.0</v>
      </c>
      <c r="O692" s="7">
        <f t="shared" si="61"/>
        <v>4490</v>
      </c>
    </row>
    <row r="693">
      <c r="A693" s="6">
        <v>2025.0</v>
      </c>
      <c r="B693" s="6" t="s">
        <v>173</v>
      </c>
      <c r="C693" s="1">
        <f t="shared" si="1"/>
        <v>10</v>
      </c>
      <c r="D693" s="2" t="s">
        <v>16</v>
      </c>
      <c r="E693" s="6">
        <f t="shared" si="2"/>
        <v>1</v>
      </c>
      <c r="F693" s="6" t="s">
        <v>17</v>
      </c>
      <c r="G693" s="6" t="s">
        <v>18</v>
      </c>
      <c r="H693" s="6" t="s">
        <v>27</v>
      </c>
      <c r="I693" s="6" t="s">
        <v>118</v>
      </c>
      <c r="K693" s="3" t="b">
        <f t="shared" si="3"/>
        <v>0</v>
      </c>
      <c r="L693" s="8"/>
      <c r="M693" s="6">
        <v>1.0</v>
      </c>
      <c r="N693" s="7">
        <v>1750.0</v>
      </c>
      <c r="O693" s="7">
        <f t="shared" si="61"/>
        <v>1750</v>
      </c>
    </row>
    <row r="694">
      <c r="A694" s="6">
        <v>2025.0</v>
      </c>
      <c r="B694" s="6" t="s">
        <v>173</v>
      </c>
      <c r="C694" s="1">
        <f t="shared" si="1"/>
        <v>10</v>
      </c>
      <c r="D694" s="2" t="s">
        <v>16</v>
      </c>
      <c r="E694" s="6">
        <f t="shared" si="2"/>
        <v>1</v>
      </c>
      <c r="F694" s="6" t="s">
        <v>17</v>
      </c>
      <c r="G694" s="6" t="s">
        <v>18</v>
      </c>
      <c r="H694" s="6" t="s">
        <v>37</v>
      </c>
      <c r="I694" s="6" t="s">
        <v>87</v>
      </c>
      <c r="K694" s="3" t="b">
        <f t="shared" si="3"/>
        <v>0</v>
      </c>
      <c r="L694" s="8"/>
      <c r="M694" s="6">
        <v>2.0</v>
      </c>
      <c r="N694" s="10">
        <v>4990.0</v>
      </c>
      <c r="O694" s="7">
        <f t="shared" si="61"/>
        <v>9980</v>
      </c>
    </row>
    <row r="695">
      <c r="A695" s="6">
        <v>2025.0</v>
      </c>
      <c r="B695" s="6" t="s">
        <v>173</v>
      </c>
      <c r="C695" s="1">
        <f t="shared" si="1"/>
        <v>10</v>
      </c>
      <c r="D695" s="2" t="s">
        <v>16</v>
      </c>
      <c r="E695" s="6">
        <f t="shared" si="2"/>
        <v>1</v>
      </c>
      <c r="F695" s="6" t="s">
        <v>17</v>
      </c>
      <c r="G695" s="6" t="s">
        <v>18</v>
      </c>
      <c r="H695" s="6" t="s">
        <v>37</v>
      </c>
      <c r="I695" s="6" t="s">
        <v>145</v>
      </c>
      <c r="K695" s="3" t="b">
        <f t="shared" si="3"/>
        <v>0</v>
      </c>
      <c r="L695" s="8"/>
      <c r="M695" s="6">
        <v>1.0</v>
      </c>
      <c r="N695" s="7">
        <v>11950.0</v>
      </c>
      <c r="O695" s="7">
        <f t="shared" si="61"/>
        <v>11950</v>
      </c>
    </row>
    <row r="696">
      <c r="A696" s="6">
        <v>2025.0</v>
      </c>
      <c r="B696" s="6" t="s">
        <v>173</v>
      </c>
      <c r="C696" s="1">
        <f t="shared" si="1"/>
        <v>10</v>
      </c>
      <c r="D696" s="2" t="s">
        <v>16</v>
      </c>
      <c r="E696" s="6">
        <f t="shared" si="2"/>
        <v>1</v>
      </c>
      <c r="F696" s="6" t="s">
        <v>17</v>
      </c>
      <c r="G696" s="6" t="s">
        <v>18</v>
      </c>
      <c r="H696" s="6" t="s">
        <v>94</v>
      </c>
      <c r="I696" s="6" t="s">
        <v>95</v>
      </c>
      <c r="K696" s="3" t="b">
        <f t="shared" si="3"/>
        <v>1</v>
      </c>
      <c r="L696" s="8"/>
      <c r="M696" s="6">
        <v>1.0</v>
      </c>
      <c r="N696" s="9">
        <v>6450.0</v>
      </c>
      <c r="O696" s="7">
        <f t="shared" si="61"/>
        <v>6450</v>
      </c>
    </row>
    <row r="697">
      <c r="A697" s="6">
        <v>2025.0</v>
      </c>
      <c r="B697" s="6" t="s">
        <v>173</v>
      </c>
      <c r="C697" s="1">
        <f t="shared" si="1"/>
        <v>10</v>
      </c>
      <c r="D697" s="2" t="s">
        <v>16</v>
      </c>
      <c r="E697" s="6">
        <f t="shared" si="2"/>
        <v>1</v>
      </c>
      <c r="F697" s="6" t="s">
        <v>17</v>
      </c>
      <c r="G697" s="6" t="s">
        <v>18</v>
      </c>
      <c r="H697" s="6" t="s">
        <v>94</v>
      </c>
      <c r="I697" s="6" t="s">
        <v>95</v>
      </c>
      <c r="K697" s="3" t="b">
        <f t="shared" si="3"/>
        <v>1</v>
      </c>
      <c r="L697" s="8"/>
      <c r="M697" s="6">
        <v>1.0</v>
      </c>
      <c r="N697" s="7">
        <v>4950.0</v>
      </c>
      <c r="O697" s="7">
        <f t="shared" si="61"/>
        <v>4950</v>
      </c>
    </row>
    <row r="698">
      <c r="A698" s="6">
        <v>2025.0</v>
      </c>
      <c r="B698" s="6" t="s">
        <v>173</v>
      </c>
      <c r="C698" s="1">
        <f t="shared" si="1"/>
        <v>10</v>
      </c>
      <c r="D698" s="2" t="s">
        <v>16</v>
      </c>
      <c r="E698" s="6">
        <f t="shared" si="2"/>
        <v>1</v>
      </c>
      <c r="F698" s="6" t="s">
        <v>17</v>
      </c>
      <c r="G698" s="6" t="s">
        <v>18</v>
      </c>
      <c r="H698" s="6" t="s">
        <v>92</v>
      </c>
      <c r="I698" s="6" t="s">
        <v>93</v>
      </c>
      <c r="K698" s="3" t="b">
        <f t="shared" si="3"/>
        <v>0</v>
      </c>
      <c r="L698" s="8"/>
      <c r="M698" s="6">
        <v>3.0</v>
      </c>
      <c r="N698" s="7">
        <v>1990.0</v>
      </c>
      <c r="O698" s="7">
        <f t="shared" si="61"/>
        <v>5970</v>
      </c>
    </row>
    <row r="699">
      <c r="A699" s="6">
        <v>2025.0</v>
      </c>
      <c r="B699" s="6" t="s">
        <v>173</v>
      </c>
      <c r="C699" s="1">
        <f t="shared" si="1"/>
        <v>10</v>
      </c>
      <c r="D699" s="2" t="s">
        <v>16</v>
      </c>
      <c r="E699" s="6">
        <f t="shared" si="2"/>
        <v>1</v>
      </c>
      <c r="F699" s="6" t="s">
        <v>17</v>
      </c>
      <c r="G699" s="6" t="s">
        <v>18</v>
      </c>
      <c r="H699" s="6" t="s">
        <v>85</v>
      </c>
      <c r="I699" s="6" t="s">
        <v>146</v>
      </c>
      <c r="K699" s="3" t="b">
        <f t="shared" si="3"/>
        <v>0</v>
      </c>
      <c r="L699" s="8"/>
      <c r="M699" s="6">
        <v>1.0</v>
      </c>
      <c r="N699" s="10">
        <v>1150.0</v>
      </c>
      <c r="O699" s="7">
        <f t="shared" si="61"/>
        <v>1150</v>
      </c>
    </row>
    <row r="700">
      <c r="A700" s="6">
        <v>2025.0</v>
      </c>
      <c r="B700" s="6" t="s">
        <v>173</v>
      </c>
      <c r="C700" s="1">
        <f t="shared" si="1"/>
        <v>10</v>
      </c>
      <c r="D700" s="2" t="s">
        <v>16</v>
      </c>
      <c r="E700" s="6">
        <f t="shared" si="2"/>
        <v>1</v>
      </c>
      <c r="F700" s="6" t="s">
        <v>17</v>
      </c>
      <c r="G700" s="6" t="s">
        <v>18</v>
      </c>
      <c r="H700" s="6" t="s">
        <v>85</v>
      </c>
      <c r="I700" s="6" t="s">
        <v>88</v>
      </c>
      <c r="K700" s="3" t="b">
        <f t="shared" si="3"/>
        <v>0</v>
      </c>
      <c r="L700" s="8"/>
      <c r="M700" s="6">
        <v>1.0</v>
      </c>
      <c r="N700" s="10">
        <v>1150.0</v>
      </c>
      <c r="O700" s="7">
        <f t="shared" si="61"/>
        <v>1150</v>
      </c>
    </row>
    <row r="701">
      <c r="A701" s="6">
        <v>2025.0</v>
      </c>
      <c r="B701" s="6" t="s">
        <v>173</v>
      </c>
      <c r="C701" s="1">
        <f t="shared" si="1"/>
        <v>10</v>
      </c>
      <c r="D701" s="2" t="s">
        <v>16</v>
      </c>
      <c r="E701" s="6">
        <f t="shared" si="2"/>
        <v>1</v>
      </c>
      <c r="F701" s="6" t="s">
        <v>17</v>
      </c>
      <c r="G701" s="6" t="s">
        <v>18</v>
      </c>
      <c r="H701" s="6" t="s">
        <v>35</v>
      </c>
      <c r="I701" s="6" t="s">
        <v>175</v>
      </c>
      <c r="K701" s="3" t="b">
        <f t="shared" si="3"/>
        <v>0</v>
      </c>
      <c r="L701" s="8"/>
      <c r="M701" s="6">
        <v>1.0</v>
      </c>
      <c r="N701" s="10">
        <v>1990.0</v>
      </c>
      <c r="O701" s="7">
        <f t="shared" si="61"/>
        <v>1990</v>
      </c>
    </row>
    <row r="702">
      <c r="A702" s="6">
        <v>2025.0</v>
      </c>
      <c r="B702" s="6" t="s">
        <v>173</v>
      </c>
      <c r="C702" s="1">
        <f t="shared" si="1"/>
        <v>10</v>
      </c>
      <c r="D702" s="2" t="s">
        <v>16</v>
      </c>
      <c r="E702" s="6">
        <f t="shared" si="2"/>
        <v>1</v>
      </c>
      <c r="F702" s="6" t="s">
        <v>30</v>
      </c>
      <c r="G702" s="6" t="s">
        <v>18</v>
      </c>
      <c r="H702" s="6" t="s">
        <v>49</v>
      </c>
      <c r="I702" s="6" t="s">
        <v>153</v>
      </c>
      <c r="K702" s="3" t="b">
        <f t="shared" si="3"/>
        <v>0</v>
      </c>
      <c r="L702" s="3">
        <v>515.0</v>
      </c>
      <c r="N702" s="7">
        <v>5200.0</v>
      </c>
      <c r="O702" s="7">
        <f t="shared" ref="O702:O708" si="62">N702*L702/1000</f>
        <v>2678</v>
      </c>
    </row>
    <row r="703">
      <c r="A703" s="6">
        <v>2025.0</v>
      </c>
      <c r="B703" s="6" t="s">
        <v>173</v>
      </c>
      <c r="C703" s="1">
        <f t="shared" si="1"/>
        <v>10</v>
      </c>
      <c r="D703" s="2" t="s">
        <v>16</v>
      </c>
      <c r="E703" s="6">
        <f t="shared" si="2"/>
        <v>1</v>
      </c>
      <c r="F703" s="6" t="s">
        <v>30</v>
      </c>
      <c r="G703" s="6" t="s">
        <v>18</v>
      </c>
      <c r="H703" s="6" t="s">
        <v>49</v>
      </c>
      <c r="I703" s="6" t="s">
        <v>62</v>
      </c>
      <c r="K703" s="3" t="b">
        <f t="shared" si="3"/>
        <v>0</v>
      </c>
      <c r="L703" s="3">
        <v>4275.0</v>
      </c>
      <c r="N703" s="7">
        <v>1980.0</v>
      </c>
      <c r="O703" s="7">
        <f t="shared" si="62"/>
        <v>8464.5</v>
      </c>
    </row>
    <row r="704">
      <c r="A704" s="6">
        <v>2025.0</v>
      </c>
      <c r="B704" s="6" t="s">
        <v>173</v>
      </c>
      <c r="C704" s="1">
        <f t="shared" si="1"/>
        <v>10</v>
      </c>
      <c r="D704" s="2" t="s">
        <v>16</v>
      </c>
      <c r="E704" s="6">
        <f t="shared" si="2"/>
        <v>1</v>
      </c>
      <c r="F704" s="6" t="s">
        <v>30</v>
      </c>
      <c r="G704" s="6" t="s">
        <v>18</v>
      </c>
      <c r="H704" s="6" t="s">
        <v>49</v>
      </c>
      <c r="I704" s="6" t="s">
        <v>72</v>
      </c>
      <c r="K704" s="3" t="b">
        <f t="shared" si="3"/>
        <v>0</v>
      </c>
      <c r="L704" s="3">
        <v>275.0</v>
      </c>
      <c r="N704" s="7">
        <v>7980.0</v>
      </c>
      <c r="O704" s="7">
        <f t="shared" si="62"/>
        <v>2194.5</v>
      </c>
    </row>
    <row r="705">
      <c r="A705" s="6">
        <v>2025.0</v>
      </c>
      <c r="B705" s="6" t="s">
        <v>173</v>
      </c>
      <c r="C705" s="1">
        <f t="shared" si="1"/>
        <v>10</v>
      </c>
      <c r="D705" s="2" t="s">
        <v>16</v>
      </c>
      <c r="E705" s="6">
        <f t="shared" si="2"/>
        <v>1</v>
      </c>
      <c r="F705" s="6" t="s">
        <v>30</v>
      </c>
      <c r="G705" s="6" t="s">
        <v>18</v>
      </c>
      <c r="H705" s="6" t="s">
        <v>49</v>
      </c>
      <c r="I705" s="6" t="s">
        <v>142</v>
      </c>
      <c r="K705" s="3" t="b">
        <f t="shared" si="3"/>
        <v>0</v>
      </c>
      <c r="L705" s="3">
        <v>240.0</v>
      </c>
      <c r="N705" s="7">
        <v>4980.0</v>
      </c>
      <c r="O705" s="7">
        <f t="shared" si="62"/>
        <v>1195.2</v>
      </c>
    </row>
    <row r="706">
      <c r="A706" s="6">
        <v>2025.0</v>
      </c>
      <c r="B706" s="6" t="s">
        <v>173</v>
      </c>
      <c r="C706" s="1">
        <f t="shared" si="1"/>
        <v>10</v>
      </c>
      <c r="D706" s="2" t="s">
        <v>16</v>
      </c>
      <c r="E706" s="6">
        <f t="shared" si="2"/>
        <v>1</v>
      </c>
      <c r="F706" s="6" t="s">
        <v>30</v>
      </c>
      <c r="G706" s="6" t="s">
        <v>18</v>
      </c>
      <c r="H706" s="6" t="s">
        <v>49</v>
      </c>
      <c r="I706" s="6" t="s">
        <v>63</v>
      </c>
      <c r="K706" s="3" t="b">
        <f t="shared" si="3"/>
        <v>0</v>
      </c>
      <c r="L706" s="3">
        <v>1605.0</v>
      </c>
      <c r="N706" s="7">
        <v>5780.0</v>
      </c>
      <c r="O706" s="7">
        <f t="shared" si="62"/>
        <v>9276.9</v>
      </c>
    </row>
    <row r="707">
      <c r="A707" s="6">
        <v>2025.0</v>
      </c>
      <c r="B707" s="6" t="s">
        <v>173</v>
      </c>
      <c r="C707" s="1">
        <f t="shared" si="1"/>
        <v>10</v>
      </c>
      <c r="D707" s="2" t="s">
        <v>16</v>
      </c>
      <c r="E707" s="6">
        <f t="shared" si="2"/>
        <v>1</v>
      </c>
      <c r="F707" s="6" t="s">
        <v>30</v>
      </c>
      <c r="G707" s="6" t="s">
        <v>18</v>
      </c>
      <c r="H707" s="6" t="s">
        <v>49</v>
      </c>
      <c r="I707" s="6" t="s">
        <v>168</v>
      </c>
      <c r="K707" s="3" t="b">
        <f t="shared" si="3"/>
        <v>0</v>
      </c>
      <c r="L707" s="3">
        <v>1280.0</v>
      </c>
      <c r="N707" s="7">
        <v>2580.0</v>
      </c>
      <c r="O707" s="7">
        <f t="shared" si="62"/>
        <v>3302.4</v>
      </c>
    </row>
    <row r="708">
      <c r="A708" s="6">
        <v>2025.0</v>
      </c>
      <c r="B708" s="6" t="s">
        <v>173</v>
      </c>
      <c r="C708" s="1">
        <f t="shared" si="1"/>
        <v>10</v>
      </c>
      <c r="D708" s="2" t="s">
        <v>16</v>
      </c>
      <c r="E708" s="6">
        <f t="shared" si="2"/>
        <v>1</v>
      </c>
      <c r="F708" s="6" t="s">
        <v>30</v>
      </c>
      <c r="G708" s="6" t="s">
        <v>18</v>
      </c>
      <c r="H708" s="6" t="s">
        <v>49</v>
      </c>
      <c r="I708" s="6" t="s">
        <v>57</v>
      </c>
      <c r="K708" s="3" t="b">
        <f t="shared" si="3"/>
        <v>0</v>
      </c>
      <c r="L708" s="3">
        <v>2460.0</v>
      </c>
      <c r="N708" s="7">
        <v>3700.0</v>
      </c>
      <c r="O708" s="7">
        <f t="shared" si="62"/>
        <v>9102</v>
      </c>
    </row>
    <row r="709">
      <c r="A709" s="6">
        <v>2025.0</v>
      </c>
      <c r="B709" s="6" t="s">
        <v>173</v>
      </c>
      <c r="C709" s="1">
        <f t="shared" si="1"/>
        <v>10</v>
      </c>
      <c r="D709" s="2" t="s">
        <v>16</v>
      </c>
      <c r="E709" s="6">
        <f t="shared" si="2"/>
        <v>1</v>
      </c>
      <c r="F709" s="6" t="s">
        <v>30</v>
      </c>
      <c r="G709" s="6" t="s">
        <v>83</v>
      </c>
      <c r="H709" s="6" t="s">
        <v>80</v>
      </c>
      <c r="I709" s="6" t="s">
        <v>143</v>
      </c>
      <c r="K709" s="3" t="b">
        <f t="shared" si="3"/>
        <v>0</v>
      </c>
      <c r="L709" s="8"/>
      <c r="M709" s="6">
        <v>1.0</v>
      </c>
      <c r="N709" s="7">
        <v>1990.0</v>
      </c>
      <c r="O709" s="7">
        <f t="shared" ref="O709:O714" si="63">N709*M709</f>
        <v>1990</v>
      </c>
    </row>
    <row r="710">
      <c r="A710" s="6">
        <v>2025.0</v>
      </c>
      <c r="B710" s="6" t="s">
        <v>173</v>
      </c>
      <c r="C710" s="1">
        <f t="shared" si="1"/>
        <v>10</v>
      </c>
      <c r="D710" s="2" t="s">
        <v>16</v>
      </c>
      <c r="E710" s="6">
        <f t="shared" si="2"/>
        <v>1</v>
      </c>
      <c r="F710" s="6" t="s">
        <v>30</v>
      </c>
      <c r="G710" s="6" t="s">
        <v>18</v>
      </c>
      <c r="H710" s="6" t="s">
        <v>24</v>
      </c>
      <c r="I710" s="6" t="s">
        <v>42</v>
      </c>
      <c r="K710" s="3" t="b">
        <f t="shared" si="3"/>
        <v>0</v>
      </c>
      <c r="L710" s="3">
        <v>400.0</v>
      </c>
      <c r="M710" s="6">
        <v>2.0</v>
      </c>
      <c r="N710" s="7">
        <v>15990.0</v>
      </c>
      <c r="O710" s="7">
        <f t="shared" si="63"/>
        <v>31980</v>
      </c>
    </row>
    <row r="711">
      <c r="A711" s="6">
        <v>2025.0</v>
      </c>
      <c r="B711" s="6" t="s">
        <v>173</v>
      </c>
      <c r="C711" s="1">
        <f t="shared" si="1"/>
        <v>10</v>
      </c>
      <c r="D711" s="2" t="s">
        <v>16</v>
      </c>
      <c r="E711" s="6">
        <f t="shared" si="2"/>
        <v>1</v>
      </c>
      <c r="F711" s="6" t="s">
        <v>30</v>
      </c>
      <c r="G711" s="6" t="s">
        <v>18</v>
      </c>
      <c r="H711" s="6" t="s">
        <v>27</v>
      </c>
      <c r="I711" s="6" t="s">
        <v>112</v>
      </c>
      <c r="K711" s="3" t="b">
        <f t="shared" si="3"/>
        <v>0</v>
      </c>
      <c r="L711" s="3">
        <v>55.0</v>
      </c>
      <c r="M711" s="6">
        <v>1.0</v>
      </c>
      <c r="N711" s="7">
        <v>1990.0</v>
      </c>
      <c r="O711" s="7">
        <f t="shared" si="63"/>
        <v>1990</v>
      </c>
    </row>
    <row r="712">
      <c r="A712" s="6">
        <v>2025.0</v>
      </c>
      <c r="B712" s="6" t="s">
        <v>173</v>
      </c>
      <c r="C712" s="1">
        <f t="shared" si="1"/>
        <v>10</v>
      </c>
      <c r="D712" s="2" t="s">
        <v>16</v>
      </c>
      <c r="E712" s="6">
        <f t="shared" si="2"/>
        <v>1</v>
      </c>
      <c r="F712" s="6" t="s">
        <v>30</v>
      </c>
      <c r="G712" s="6" t="s">
        <v>18</v>
      </c>
      <c r="H712" s="6" t="s">
        <v>52</v>
      </c>
      <c r="I712" s="6" t="s">
        <v>130</v>
      </c>
      <c r="K712" s="3" t="b">
        <f t="shared" si="3"/>
        <v>0</v>
      </c>
      <c r="L712" s="3">
        <v>500.0</v>
      </c>
      <c r="M712" s="6">
        <v>1.0</v>
      </c>
      <c r="N712" s="7">
        <v>2800.0</v>
      </c>
      <c r="O712" s="7">
        <f t="shared" si="63"/>
        <v>2800</v>
      </c>
    </row>
    <row r="713">
      <c r="A713" s="6">
        <v>2025.0</v>
      </c>
      <c r="B713" s="6" t="s">
        <v>173</v>
      </c>
      <c r="C713" s="1">
        <f t="shared" si="1"/>
        <v>10</v>
      </c>
      <c r="D713" s="2" t="s">
        <v>16</v>
      </c>
      <c r="E713" s="6">
        <f t="shared" si="2"/>
        <v>1</v>
      </c>
      <c r="F713" s="6" t="s">
        <v>30</v>
      </c>
      <c r="G713" s="6" t="s">
        <v>18</v>
      </c>
      <c r="H713" s="6" t="s">
        <v>52</v>
      </c>
      <c r="I713" s="6" t="s">
        <v>54</v>
      </c>
      <c r="K713" s="3" t="b">
        <f t="shared" si="3"/>
        <v>0</v>
      </c>
      <c r="L713" s="3">
        <v>500.0</v>
      </c>
      <c r="M713" s="6">
        <v>1.0</v>
      </c>
      <c r="N713" s="7">
        <v>4190.0</v>
      </c>
      <c r="O713" s="7">
        <f t="shared" si="63"/>
        <v>4190</v>
      </c>
    </row>
    <row r="714">
      <c r="A714" s="6">
        <v>2025.0</v>
      </c>
      <c r="B714" s="6" t="s">
        <v>173</v>
      </c>
      <c r="C714" s="1">
        <f t="shared" si="1"/>
        <v>10</v>
      </c>
      <c r="D714" s="2" t="s">
        <v>16</v>
      </c>
      <c r="E714" s="6">
        <f t="shared" si="2"/>
        <v>1</v>
      </c>
      <c r="F714" s="6" t="s">
        <v>30</v>
      </c>
      <c r="G714" s="6" t="s">
        <v>18</v>
      </c>
      <c r="H714" s="6" t="s">
        <v>52</v>
      </c>
      <c r="I714" s="6" t="s">
        <v>75</v>
      </c>
      <c r="K714" s="3" t="b">
        <f t="shared" si="3"/>
        <v>0</v>
      </c>
      <c r="L714" s="3">
        <v>500.0</v>
      </c>
      <c r="M714" s="6">
        <v>1.0</v>
      </c>
      <c r="N714" s="7">
        <v>1890.0</v>
      </c>
      <c r="O714" s="7">
        <f t="shared" si="63"/>
        <v>1890</v>
      </c>
    </row>
    <row r="715">
      <c r="A715" s="6">
        <v>2025.0</v>
      </c>
      <c r="B715" s="6" t="s">
        <v>173</v>
      </c>
      <c r="C715" s="1">
        <f t="shared" si="1"/>
        <v>10</v>
      </c>
      <c r="D715" s="2" t="s">
        <v>16</v>
      </c>
      <c r="E715" s="6">
        <f t="shared" si="2"/>
        <v>1</v>
      </c>
      <c r="F715" s="6" t="s">
        <v>30</v>
      </c>
      <c r="G715" s="6" t="s">
        <v>18</v>
      </c>
      <c r="H715" s="6" t="s">
        <v>33</v>
      </c>
      <c r="I715" s="6" t="s">
        <v>59</v>
      </c>
      <c r="K715" s="3" t="b">
        <f t="shared" si="3"/>
        <v>0</v>
      </c>
      <c r="L715" s="3">
        <v>1100.0</v>
      </c>
      <c r="N715" s="7">
        <v>2980.0</v>
      </c>
      <c r="O715" s="7">
        <f>N715*L715/1000</f>
        <v>3278</v>
      </c>
    </row>
    <row r="716">
      <c r="A716" s="6">
        <v>2025.0</v>
      </c>
      <c r="B716" s="6" t="s">
        <v>173</v>
      </c>
      <c r="C716" s="1">
        <f t="shared" si="1"/>
        <v>10</v>
      </c>
      <c r="D716" s="2" t="s">
        <v>16</v>
      </c>
      <c r="E716" s="6">
        <f t="shared" si="2"/>
        <v>1</v>
      </c>
      <c r="F716" s="6" t="s">
        <v>30</v>
      </c>
      <c r="G716" s="6" t="s">
        <v>18</v>
      </c>
      <c r="H716" s="6" t="s">
        <v>92</v>
      </c>
      <c r="I716" s="6" t="s">
        <v>122</v>
      </c>
      <c r="K716" s="3" t="b">
        <f t="shared" si="3"/>
        <v>0</v>
      </c>
      <c r="L716" s="3">
        <v>500.0</v>
      </c>
      <c r="M716" s="6">
        <v>1.0</v>
      </c>
      <c r="N716" s="7">
        <v>1500.0</v>
      </c>
      <c r="O716" s="7">
        <f t="shared" ref="O716:O719" si="64">N716*M716</f>
        <v>1500</v>
      </c>
    </row>
    <row r="717">
      <c r="A717" s="6">
        <v>2025.0</v>
      </c>
      <c r="B717" s="6" t="s">
        <v>173</v>
      </c>
      <c r="C717" s="1">
        <f t="shared" si="1"/>
        <v>10</v>
      </c>
      <c r="D717" s="2" t="s">
        <v>16</v>
      </c>
      <c r="E717" s="6">
        <f t="shared" si="2"/>
        <v>1</v>
      </c>
      <c r="F717" s="6" t="s">
        <v>30</v>
      </c>
      <c r="G717" s="6" t="s">
        <v>18</v>
      </c>
      <c r="H717" s="6" t="s">
        <v>27</v>
      </c>
      <c r="I717" s="6" t="s">
        <v>40</v>
      </c>
      <c r="K717" s="3" t="b">
        <f t="shared" si="3"/>
        <v>0</v>
      </c>
      <c r="L717" s="3">
        <v>2500.0</v>
      </c>
      <c r="M717" s="6">
        <v>1.0</v>
      </c>
      <c r="N717" s="7">
        <v>7990.0</v>
      </c>
      <c r="O717" s="7">
        <f t="shared" si="64"/>
        <v>7990</v>
      </c>
    </row>
    <row r="718">
      <c r="A718" s="6">
        <v>2025.0</v>
      </c>
      <c r="B718" s="6" t="s">
        <v>173</v>
      </c>
      <c r="C718" s="1">
        <f t="shared" si="1"/>
        <v>10</v>
      </c>
      <c r="D718" s="2" t="s">
        <v>16</v>
      </c>
      <c r="E718" s="6">
        <f t="shared" si="2"/>
        <v>1</v>
      </c>
      <c r="F718" s="6" t="s">
        <v>30</v>
      </c>
      <c r="G718" s="6" t="s">
        <v>18</v>
      </c>
      <c r="H718" s="6" t="s">
        <v>31</v>
      </c>
      <c r="I718" s="6" t="s">
        <v>32</v>
      </c>
      <c r="K718" s="3" t="b">
        <f t="shared" si="3"/>
        <v>0</v>
      </c>
      <c r="L718" s="3">
        <v>1800.0</v>
      </c>
      <c r="M718" s="6">
        <v>1.0</v>
      </c>
      <c r="N718" s="7">
        <v>14350.0</v>
      </c>
      <c r="O718" s="7">
        <f t="shared" si="64"/>
        <v>14350</v>
      </c>
    </row>
    <row r="719">
      <c r="A719" s="6">
        <v>2025.0</v>
      </c>
      <c r="B719" s="6" t="s">
        <v>173</v>
      </c>
      <c r="C719" s="1">
        <f t="shared" si="1"/>
        <v>10</v>
      </c>
      <c r="D719" s="2" t="s">
        <v>16</v>
      </c>
      <c r="E719" s="6">
        <f t="shared" si="2"/>
        <v>1</v>
      </c>
      <c r="F719" s="6" t="s">
        <v>30</v>
      </c>
      <c r="G719" s="6" t="s">
        <v>18</v>
      </c>
      <c r="H719" s="6" t="s">
        <v>19</v>
      </c>
      <c r="I719" s="6" t="s">
        <v>129</v>
      </c>
      <c r="K719" s="3" t="b">
        <f t="shared" si="3"/>
        <v>0</v>
      </c>
      <c r="L719" s="3">
        <v>1100.0</v>
      </c>
      <c r="M719" s="6">
        <v>1.0</v>
      </c>
      <c r="N719" s="7">
        <v>19990.0</v>
      </c>
      <c r="O719" s="7">
        <f t="shared" si="64"/>
        <v>19990</v>
      </c>
    </row>
    <row r="720">
      <c r="A720" s="6">
        <v>2025.0</v>
      </c>
      <c r="B720" s="6" t="s">
        <v>173</v>
      </c>
      <c r="C720" s="1">
        <f t="shared" si="1"/>
        <v>10</v>
      </c>
      <c r="D720" s="2" t="s">
        <v>16</v>
      </c>
      <c r="E720" s="6">
        <f t="shared" si="2"/>
        <v>1</v>
      </c>
      <c r="F720" s="6" t="s">
        <v>30</v>
      </c>
      <c r="G720" s="6" t="s">
        <v>18</v>
      </c>
      <c r="H720" s="6" t="s">
        <v>49</v>
      </c>
      <c r="I720" s="6" t="s">
        <v>74</v>
      </c>
      <c r="K720" s="3" t="b">
        <f t="shared" si="3"/>
        <v>0</v>
      </c>
      <c r="L720" s="3">
        <v>4610.0</v>
      </c>
      <c r="N720" s="7">
        <v>900.0</v>
      </c>
      <c r="O720" s="7">
        <f t="shared" ref="O720:O733" si="65">N720*L720/1000</f>
        <v>4149</v>
      </c>
    </row>
    <row r="721">
      <c r="A721" s="6">
        <v>2025.0</v>
      </c>
      <c r="B721" s="6" t="s">
        <v>173</v>
      </c>
      <c r="C721" s="1">
        <f t="shared" si="1"/>
        <v>10</v>
      </c>
      <c r="D721" s="2" t="s">
        <v>16</v>
      </c>
      <c r="E721" s="6">
        <f t="shared" si="2"/>
        <v>1</v>
      </c>
      <c r="F721" s="6" t="s">
        <v>30</v>
      </c>
      <c r="G721" s="6" t="s">
        <v>18</v>
      </c>
      <c r="H721" s="6" t="s">
        <v>49</v>
      </c>
      <c r="I721" s="6" t="s">
        <v>50</v>
      </c>
      <c r="K721" s="3" t="b">
        <f t="shared" si="3"/>
        <v>0</v>
      </c>
      <c r="L721" s="3">
        <v>3770.0</v>
      </c>
      <c r="N721" s="7">
        <v>2300.0</v>
      </c>
      <c r="O721" s="7">
        <f t="shared" si="65"/>
        <v>8671</v>
      </c>
    </row>
    <row r="722">
      <c r="A722" s="6">
        <v>2025.0</v>
      </c>
      <c r="B722" s="6" t="s">
        <v>173</v>
      </c>
      <c r="C722" s="1">
        <f t="shared" si="1"/>
        <v>10</v>
      </c>
      <c r="D722" s="2" t="s">
        <v>16</v>
      </c>
      <c r="E722" s="6">
        <f t="shared" si="2"/>
        <v>1</v>
      </c>
      <c r="F722" s="6" t="s">
        <v>30</v>
      </c>
      <c r="G722" s="6" t="s">
        <v>18</v>
      </c>
      <c r="H722" s="6" t="s">
        <v>37</v>
      </c>
      <c r="I722" s="6" t="s">
        <v>60</v>
      </c>
      <c r="K722" s="3" t="b">
        <f t="shared" si="3"/>
        <v>0</v>
      </c>
      <c r="L722" s="3">
        <v>5655.0</v>
      </c>
      <c r="N722" s="7">
        <v>7980.0</v>
      </c>
      <c r="O722" s="7">
        <f t="shared" si="65"/>
        <v>45126.9</v>
      </c>
    </row>
    <row r="723">
      <c r="A723" s="6">
        <v>2025.0</v>
      </c>
      <c r="B723" s="6" t="s">
        <v>173</v>
      </c>
      <c r="C723" s="1">
        <f t="shared" si="1"/>
        <v>10</v>
      </c>
      <c r="D723" s="2" t="s">
        <v>16</v>
      </c>
      <c r="E723" s="6">
        <f t="shared" si="2"/>
        <v>1</v>
      </c>
      <c r="F723" s="6" t="s">
        <v>30</v>
      </c>
      <c r="G723" s="6" t="s">
        <v>18</v>
      </c>
      <c r="H723" s="6" t="s">
        <v>37</v>
      </c>
      <c r="I723" s="6" t="s">
        <v>46</v>
      </c>
      <c r="K723" s="3" t="b">
        <f t="shared" si="3"/>
        <v>0</v>
      </c>
      <c r="L723" s="3">
        <v>1145.0</v>
      </c>
      <c r="N723" s="7">
        <v>29980.0</v>
      </c>
      <c r="O723" s="7">
        <f t="shared" si="65"/>
        <v>34327.1</v>
      </c>
    </row>
    <row r="724">
      <c r="A724" s="6">
        <v>2025.0</v>
      </c>
      <c r="B724" s="6" t="s">
        <v>173</v>
      </c>
      <c r="C724" s="1">
        <f t="shared" si="1"/>
        <v>10</v>
      </c>
      <c r="D724" s="2" t="s">
        <v>16</v>
      </c>
      <c r="E724" s="6">
        <f t="shared" si="2"/>
        <v>1</v>
      </c>
      <c r="F724" s="6" t="s">
        <v>30</v>
      </c>
      <c r="G724" s="6" t="s">
        <v>18</v>
      </c>
      <c r="H724" s="6" t="s">
        <v>37</v>
      </c>
      <c r="I724" s="6" t="s">
        <v>47</v>
      </c>
      <c r="K724" s="3" t="b">
        <f t="shared" si="3"/>
        <v>0</v>
      </c>
      <c r="L724" s="3">
        <v>1015.0</v>
      </c>
      <c r="N724" s="7">
        <v>32980.0</v>
      </c>
      <c r="O724" s="7">
        <f t="shared" si="65"/>
        <v>33474.7</v>
      </c>
    </row>
    <row r="725">
      <c r="A725" s="6">
        <v>2025.0</v>
      </c>
      <c r="B725" s="6" t="s">
        <v>173</v>
      </c>
      <c r="C725" s="1">
        <f t="shared" si="1"/>
        <v>10</v>
      </c>
      <c r="D725" s="2" t="s">
        <v>16</v>
      </c>
      <c r="E725" s="6">
        <f t="shared" si="2"/>
        <v>1</v>
      </c>
      <c r="F725" s="6" t="s">
        <v>30</v>
      </c>
      <c r="G725" s="6" t="s">
        <v>18</v>
      </c>
      <c r="H725" s="6" t="s">
        <v>37</v>
      </c>
      <c r="I725" s="6" t="s">
        <v>44</v>
      </c>
      <c r="K725" s="3" t="b">
        <f t="shared" si="3"/>
        <v>0</v>
      </c>
      <c r="L725" s="3">
        <v>1200.0</v>
      </c>
      <c r="N725" s="7">
        <v>7980.0</v>
      </c>
      <c r="O725" s="7">
        <f t="shared" si="65"/>
        <v>9576</v>
      </c>
    </row>
    <row r="726">
      <c r="A726" s="6">
        <v>2025.0</v>
      </c>
      <c r="B726" s="6" t="s">
        <v>173</v>
      </c>
      <c r="C726" s="1">
        <f t="shared" si="1"/>
        <v>10</v>
      </c>
      <c r="D726" s="2" t="s">
        <v>16</v>
      </c>
      <c r="E726" s="6">
        <f t="shared" si="2"/>
        <v>1</v>
      </c>
      <c r="F726" s="6" t="s">
        <v>30</v>
      </c>
      <c r="G726" s="6" t="s">
        <v>18</v>
      </c>
      <c r="H726" s="6" t="s">
        <v>37</v>
      </c>
      <c r="I726" s="6" t="s">
        <v>68</v>
      </c>
      <c r="K726" s="3" t="b">
        <f t="shared" si="3"/>
        <v>0</v>
      </c>
      <c r="L726" s="3">
        <v>1000.0</v>
      </c>
      <c r="N726" s="7">
        <v>26980.0</v>
      </c>
      <c r="O726" s="7">
        <f t="shared" si="65"/>
        <v>26980</v>
      </c>
    </row>
    <row r="727">
      <c r="A727" s="6">
        <v>2025.0</v>
      </c>
      <c r="B727" s="6" t="s">
        <v>173</v>
      </c>
      <c r="C727" s="1">
        <f t="shared" si="1"/>
        <v>10</v>
      </c>
      <c r="D727" s="2" t="s">
        <v>16</v>
      </c>
      <c r="E727" s="6">
        <f t="shared" si="2"/>
        <v>1</v>
      </c>
      <c r="F727" s="6" t="s">
        <v>30</v>
      </c>
      <c r="G727" s="6" t="s">
        <v>18</v>
      </c>
      <c r="H727" s="6" t="s">
        <v>37</v>
      </c>
      <c r="I727" s="6" t="s">
        <v>45</v>
      </c>
      <c r="K727" s="3" t="b">
        <f t="shared" si="3"/>
        <v>0</v>
      </c>
      <c r="L727" s="3">
        <v>1835.0</v>
      </c>
      <c r="N727" s="7">
        <v>15980.0</v>
      </c>
      <c r="O727" s="7">
        <f t="shared" si="65"/>
        <v>29323.3</v>
      </c>
    </row>
    <row r="728">
      <c r="A728" s="6">
        <v>2025.0</v>
      </c>
      <c r="B728" s="6" t="s">
        <v>173</v>
      </c>
      <c r="C728" s="1">
        <f t="shared" si="1"/>
        <v>10</v>
      </c>
      <c r="D728" s="2" t="s">
        <v>16</v>
      </c>
      <c r="E728" s="6">
        <f t="shared" si="2"/>
        <v>1</v>
      </c>
      <c r="F728" s="6" t="s">
        <v>30</v>
      </c>
      <c r="G728" s="6" t="s">
        <v>18</v>
      </c>
      <c r="H728" s="6" t="s">
        <v>33</v>
      </c>
      <c r="I728" s="6" t="s">
        <v>56</v>
      </c>
      <c r="K728" s="3" t="b">
        <f t="shared" si="3"/>
        <v>0</v>
      </c>
      <c r="L728" s="3">
        <v>900.0</v>
      </c>
      <c r="N728" s="7">
        <v>3780.0</v>
      </c>
      <c r="O728" s="7">
        <f t="shared" si="65"/>
        <v>3402</v>
      </c>
    </row>
    <row r="729">
      <c r="A729" s="6">
        <v>2025.0</v>
      </c>
      <c r="B729" s="6" t="s">
        <v>173</v>
      </c>
      <c r="C729" s="1">
        <f t="shared" si="1"/>
        <v>10</v>
      </c>
      <c r="D729" s="2" t="s">
        <v>16</v>
      </c>
      <c r="E729" s="6">
        <f t="shared" si="2"/>
        <v>1</v>
      </c>
      <c r="F729" s="6" t="s">
        <v>30</v>
      </c>
      <c r="G729" s="6" t="s">
        <v>18</v>
      </c>
      <c r="H729" s="6" t="s">
        <v>49</v>
      </c>
      <c r="I729" s="6" t="s">
        <v>58</v>
      </c>
      <c r="K729" s="3" t="b">
        <f t="shared" si="3"/>
        <v>0</v>
      </c>
      <c r="L729" s="3">
        <v>1055.0</v>
      </c>
      <c r="N729" s="7">
        <v>5100.0</v>
      </c>
      <c r="O729" s="7">
        <f t="shared" si="65"/>
        <v>5380.5</v>
      </c>
    </row>
    <row r="730">
      <c r="A730" s="6">
        <v>2025.0</v>
      </c>
      <c r="B730" s="6" t="s">
        <v>173</v>
      </c>
      <c r="C730" s="1">
        <f t="shared" si="1"/>
        <v>10</v>
      </c>
      <c r="D730" s="2" t="s">
        <v>16</v>
      </c>
      <c r="E730" s="6">
        <f t="shared" si="2"/>
        <v>1</v>
      </c>
      <c r="F730" s="6" t="s">
        <v>30</v>
      </c>
      <c r="G730" s="6" t="s">
        <v>18</v>
      </c>
      <c r="H730" s="6" t="s">
        <v>33</v>
      </c>
      <c r="I730" s="6" t="s">
        <v>176</v>
      </c>
      <c r="K730" s="3" t="b">
        <f t="shared" si="3"/>
        <v>0</v>
      </c>
      <c r="L730" s="3">
        <v>535.0</v>
      </c>
      <c r="N730" s="7">
        <v>1980.0</v>
      </c>
      <c r="O730" s="7">
        <f t="shared" si="65"/>
        <v>1059.3</v>
      </c>
    </row>
    <row r="731">
      <c r="A731" s="6">
        <v>2025.0</v>
      </c>
      <c r="B731" s="6" t="s">
        <v>173</v>
      </c>
      <c r="C731" s="1">
        <f t="shared" si="1"/>
        <v>10</v>
      </c>
      <c r="D731" s="2" t="s">
        <v>16</v>
      </c>
      <c r="E731" s="6">
        <f t="shared" si="2"/>
        <v>1</v>
      </c>
      <c r="F731" s="6" t="s">
        <v>30</v>
      </c>
      <c r="G731" s="6" t="s">
        <v>18</v>
      </c>
      <c r="H731" s="6" t="s">
        <v>33</v>
      </c>
      <c r="I731" s="6" t="s">
        <v>70</v>
      </c>
      <c r="K731" s="3" t="b">
        <f t="shared" si="3"/>
        <v>0</v>
      </c>
      <c r="L731" s="3">
        <v>1960.0</v>
      </c>
      <c r="N731" s="7">
        <v>2380.0</v>
      </c>
      <c r="O731" s="7">
        <f t="shared" si="65"/>
        <v>4664.8</v>
      </c>
    </row>
    <row r="732">
      <c r="A732" s="6">
        <v>2025.0</v>
      </c>
      <c r="B732" s="6" t="s">
        <v>173</v>
      </c>
      <c r="C732" s="1">
        <f t="shared" si="1"/>
        <v>10</v>
      </c>
      <c r="D732" s="2" t="s">
        <v>16</v>
      </c>
      <c r="E732" s="6">
        <f t="shared" si="2"/>
        <v>1</v>
      </c>
      <c r="F732" s="6" t="s">
        <v>30</v>
      </c>
      <c r="G732" s="6" t="s">
        <v>18</v>
      </c>
      <c r="H732" s="6" t="s">
        <v>33</v>
      </c>
      <c r="I732" s="6" t="s">
        <v>148</v>
      </c>
      <c r="K732" s="3" t="b">
        <f t="shared" si="3"/>
        <v>0</v>
      </c>
      <c r="L732" s="3">
        <v>745.0</v>
      </c>
      <c r="N732" s="7">
        <v>3180.0</v>
      </c>
      <c r="O732" s="7">
        <f t="shared" si="65"/>
        <v>2369.1</v>
      </c>
    </row>
    <row r="733">
      <c r="A733" s="6">
        <v>2025.0</v>
      </c>
      <c r="B733" s="6" t="s">
        <v>173</v>
      </c>
      <c r="C733" s="1">
        <f t="shared" si="1"/>
        <v>10</v>
      </c>
      <c r="D733" s="2" t="s">
        <v>16</v>
      </c>
      <c r="E733" s="6">
        <f t="shared" si="2"/>
        <v>1</v>
      </c>
      <c r="F733" s="6" t="s">
        <v>30</v>
      </c>
      <c r="G733" s="6" t="s">
        <v>18</v>
      </c>
      <c r="H733" s="6" t="s">
        <v>49</v>
      </c>
      <c r="I733" s="6" t="s">
        <v>71</v>
      </c>
      <c r="K733" s="3" t="b">
        <f t="shared" si="3"/>
        <v>0</v>
      </c>
      <c r="L733" s="3">
        <v>790.0</v>
      </c>
      <c r="N733" s="7">
        <v>4180.0</v>
      </c>
      <c r="O733" s="7">
        <f t="shared" si="65"/>
        <v>3302.2</v>
      </c>
    </row>
    <row r="734">
      <c r="A734" s="6">
        <v>2025.0</v>
      </c>
      <c r="B734" s="6" t="s">
        <v>177</v>
      </c>
      <c r="C734" s="1">
        <f t="shared" si="1"/>
        <v>11</v>
      </c>
      <c r="D734" s="2" t="s">
        <v>65</v>
      </c>
      <c r="E734" s="6">
        <f t="shared" si="2"/>
        <v>2</v>
      </c>
      <c r="F734" s="6" t="s">
        <v>17</v>
      </c>
      <c r="G734" s="6" t="s">
        <v>83</v>
      </c>
      <c r="H734" s="6" t="s">
        <v>89</v>
      </c>
      <c r="I734" s="6" t="s">
        <v>91</v>
      </c>
      <c r="K734" s="3" t="b">
        <f t="shared" si="3"/>
        <v>0</v>
      </c>
      <c r="L734" s="8"/>
      <c r="M734" s="6">
        <v>1.0</v>
      </c>
      <c r="N734" s="7">
        <v>4550.0</v>
      </c>
      <c r="O734" s="7">
        <f t="shared" ref="O734:O758" si="66">N734*M734</f>
        <v>4550</v>
      </c>
    </row>
    <row r="735">
      <c r="A735" s="6">
        <v>2025.0</v>
      </c>
      <c r="B735" s="6" t="s">
        <v>177</v>
      </c>
      <c r="C735" s="1">
        <f t="shared" si="1"/>
        <v>11</v>
      </c>
      <c r="D735" s="2" t="s">
        <v>65</v>
      </c>
      <c r="E735" s="6">
        <f t="shared" si="2"/>
        <v>2</v>
      </c>
      <c r="F735" s="6" t="s">
        <v>17</v>
      </c>
      <c r="G735" s="6" t="s">
        <v>83</v>
      </c>
      <c r="H735" s="6" t="s">
        <v>89</v>
      </c>
      <c r="I735" s="6" t="s">
        <v>127</v>
      </c>
      <c r="K735" s="3" t="b">
        <f t="shared" si="3"/>
        <v>0</v>
      </c>
      <c r="L735" s="8"/>
      <c r="M735" s="6">
        <v>1.0</v>
      </c>
      <c r="N735" s="7">
        <v>2880.0</v>
      </c>
      <c r="O735" s="7">
        <f t="shared" si="66"/>
        <v>2880</v>
      </c>
    </row>
    <row r="736">
      <c r="A736" s="6">
        <v>2025.0</v>
      </c>
      <c r="B736" s="6" t="s">
        <v>177</v>
      </c>
      <c r="C736" s="1">
        <f t="shared" si="1"/>
        <v>11</v>
      </c>
      <c r="D736" s="2" t="s">
        <v>65</v>
      </c>
      <c r="E736" s="6">
        <f t="shared" si="2"/>
        <v>2</v>
      </c>
      <c r="F736" s="6" t="s">
        <v>17</v>
      </c>
      <c r="G736" s="6" t="s">
        <v>83</v>
      </c>
      <c r="H736" s="6" t="s">
        <v>89</v>
      </c>
      <c r="I736" s="6" t="s">
        <v>99</v>
      </c>
      <c r="K736" s="3" t="b">
        <f t="shared" si="3"/>
        <v>0</v>
      </c>
      <c r="L736" s="3">
        <v>500.0</v>
      </c>
      <c r="M736" s="6">
        <v>1.0</v>
      </c>
      <c r="N736" s="7">
        <v>2350.0</v>
      </c>
      <c r="O736" s="7">
        <f t="shared" si="66"/>
        <v>2350</v>
      </c>
    </row>
    <row r="737">
      <c r="A737" s="6">
        <v>2025.0</v>
      </c>
      <c r="B737" s="6" t="s">
        <v>177</v>
      </c>
      <c r="C737" s="1">
        <f t="shared" si="1"/>
        <v>11</v>
      </c>
      <c r="D737" s="2" t="s">
        <v>65</v>
      </c>
      <c r="E737" s="6">
        <f t="shared" si="2"/>
        <v>2</v>
      </c>
      <c r="F737" s="6" t="s">
        <v>17</v>
      </c>
      <c r="G737" s="6" t="s">
        <v>83</v>
      </c>
      <c r="H737" s="6" t="s">
        <v>89</v>
      </c>
      <c r="I737" s="6" t="s">
        <v>90</v>
      </c>
      <c r="K737" s="3" t="b">
        <f t="shared" si="3"/>
        <v>0</v>
      </c>
      <c r="L737" s="8"/>
      <c r="M737" s="6">
        <v>1.0</v>
      </c>
      <c r="N737" s="7">
        <v>2450.0</v>
      </c>
      <c r="O737" s="7">
        <f t="shared" si="66"/>
        <v>2450</v>
      </c>
    </row>
    <row r="738">
      <c r="A738" s="6">
        <v>2025.0</v>
      </c>
      <c r="B738" s="6" t="s">
        <v>177</v>
      </c>
      <c r="C738" s="1">
        <f t="shared" si="1"/>
        <v>11</v>
      </c>
      <c r="D738" s="2" t="s">
        <v>65</v>
      </c>
      <c r="E738" s="6">
        <f t="shared" si="2"/>
        <v>2</v>
      </c>
      <c r="F738" s="6" t="s">
        <v>17</v>
      </c>
      <c r="G738" s="6" t="s">
        <v>79</v>
      </c>
      <c r="H738" s="6" t="s">
        <v>96</v>
      </c>
      <c r="I738" s="6" t="s">
        <v>97</v>
      </c>
      <c r="K738" s="3" t="b">
        <f t="shared" si="3"/>
        <v>0</v>
      </c>
      <c r="L738" s="8"/>
      <c r="M738" s="6">
        <v>1.0</v>
      </c>
      <c r="N738" s="7">
        <v>5350.0</v>
      </c>
      <c r="O738" s="7">
        <f t="shared" si="66"/>
        <v>5350</v>
      </c>
    </row>
    <row r="739">
      <c r="A739" s="6">
        <v>2025.0</v>
      </c>
      <c r="B739" s="6" t="s">
        <v>177</v>
      </c>
      <c r="C739" s="1">
        <f t="shared" si="1"/>
        <v>11</v>
      </c>
      <c r="D739" s="2" t="s">
        <v>65</v>
      </c>
      <c r="E739" s="6">
        <f t="shared" si="2"/>
        <v>2</v>
      </c>
      <c r="F739" s="6" t="s">
        <v>17</v>
      </c>
      <c r="G739" s="6" t="s">
        <v>18</v>
      </c>
      <c r="H739" s="6" t="s">
        <v>27</v>
      </c>
      <c r="I739" s="6" t="s">
        <v>101</v>
      </c>
      <c r="K739" s="3" t="b">
        <f t="shared" si="3"/>
        <v>0</v>
      </c>
      <c r="L739" s="8"/>
      <c r="M739" s="6">
        <v>1.0</v>
      </c>
      <c r="N739" s="7">
        <v>4490.0</v>
      </c>
      <c r="O739" s="7">
        <f t="shared" si="66"/>
        <v>4490</v>
      </c>
    </row>
    <row r="740">
      <c r="A740" s="6">
        <v>2025.0</v>
      </c>
      <c r="B740" s="6" t="s">
        <v>177</v>
      </c>
      <c r="C740" s="1">
        <f t="shared" si="1"/>
        <v>11</v>
      </c>
      <c r="D740" s="2" t="s">
        <v>65</v>
      </c>
      <c r="E740" s="6">
        <f t="shared" si="2"/>
        <v>2</v>
      </c>
      <c r="F740" s="6" t="s">
        <v>17</v>
      </c>
      <c r="G740" s="6" t="s">
        <v>18</v>
      </c>
      <c r="H740" s="6" t="s">
        <v>27</v>
      </c>
      <c r="I740" s="6" t="s">
        <v>100</v>
      </c>
      <c r="K740" s="3" t="b">
        <f t="shared" si="3"/>
        <v>0</v>
      </c>
      <c r="L740" s="8"/>
      <c r="M740" s="6">
        <v>1.0</v>
      </c>
      <c r="N740" s="7">
        <v>3790.0</v>
      </c>
      <c r="O740" s="7">
        <f t="shared" si="66"/>
        <v>3790</v>
      </c>
    </row>
    <row r="741">
      <c r="A741" s="6">
        <v>2025.0</v>
      </c>
      <c r="B741" s="6" t="s">
        <v>177</v>
      </c>
      <c r="C741" s="1">
        <f t="shared" si="1"/>
        <v>11</v>
      </c>
      <c r="D741" s="2" t="s">
        <v>65</v>
      </c>
      <c r="E741" s="6">
        <f t="shared" si="2"/>
        <v>2</v>
      </c>
      <c r="F741" s="6" t="s">
        <v>17</v>
      </c>
      <c r="G741" s="6" t="s">
        <v>18</v>
      </c>
      <c r="H741" s="6" t="s">
        <v>19</v>
      </c>
      <c r="I741" s="6" t="s">
        <v>104</v>
      </c>
      <c r="K741" s="3" t="b">
        <f t="shared" si="3"/>
        <v>0</v>
      </c>
      <c r="L741" s="8"/>
      <c r="M741" s="6">
        <v>1.0</v>
      </c>
      <c r="N741" s="7">
        <v>7990.0</v>
      </c>
      <c r="O741" s="7">
        <f t="shared" si="66"/>
        <v>7990</v>
      </c>
    </row>
    <row r="742">
      <c r="A742" s="6">
        <v>2025.0</v>
      </c>
      <c r="B742" s="6" t="s">
        <v>177</v>
      </c>
      <c r="C742" s="1">
        <f t="shared" si="1"/>
        <v>11</v>
      </c>
      <c r="D742" s="2" t="s">
        <v>65</v>
      </c>
      <c r="E742" s="6">
        <f t="shared" si="2"/>
        <v>2</v>
      </c>
      <c r="F742" s="6" t="s">
        <v>17</v>
      </c>
      <c r="G742" s="6" t="s">
        <v>18</v>
      </c>
      <c r="H742" s="6" t="s">
        <v>94</v>
      </c>
      <c r="I742" s="6" t="s">
        <v>103</v>
      </c>
      <c r="K742" s="3" t="b">
        <f t="shared" si="3"/>
        <v>0</v>
      </c>
      <c r="L742" s="8"/>
      <c r="M742" s="6">
        <v>3.0</v>
      </c>
      <c r="N742" s="7">
        <v>1950.0</v>
      </c>
      <c r="O742" s="7">
        <f t="shared" si="66"/>
        <v>5850</v>
      </c>
    </row>
    <row r="743">
      <c r="A743" s="6">
        <v>2025.0</v>
      </c>
      <c r="B743" s="6" t="s">
        <v>177</v>
      </c>
      <c r="C743" s="1">
        <f t="shared" si="1"/>
        <v>11</v>
      </c>
      <c r="D743" s="2" t="s">
        <v>65</v>
      </c>
      <c r="E743" s="6">
        <f t="shared" si="2"/>
        <v>2</v>
      </c>
      <c r="F743" s="6" t="s">
        <v>17</v>
      </c>
      <c r="G743" s="6" t="s">
        <v>18</v>
      </c>
      <c r="H743" s="6" t="s">
        <v>37</v>
      </c>
      <c r="I743" s="6" t="s">
        <v>87</v>
      </c>
      <c r="K743" s="3" t="b">
        <f t="shared" si="3"/>
        <v>0</v>
      </c>
      <c r="L743" s="8"/>
      <c r="M743" s="6">
        <v>2.0</v>
      </c>
      <c r="N743" s="7">
        <v>4990.0</v>
      </c>
      <c r="O743" s="7">
        <f t="shared" si="66"/>
        <v>9980</v>
      </c>
    </row>
    <row r="744">
      <c r="A744" s="6">
        <v>2025.0</v>
      </c>
      <c r="B744" s="6" t="s">
        <v>177</v>
      </c>
      <c r="C744" s="1">
        <f t="shared" si="1"/>
        <v>11</v>
      </c>
      <c r="D744" s="2" t="s">
        <v>65</v>
      </c>
      <c r="E744" s="6">
        <f t="shared" si="2"/>
        <v>2</v>
      </c>
      <c r="F744" s="6" t="s">
        <v>17</v>
      </c>
      <c r="G744" s="6" t="s">
        <v>18</v>
      </c>
      <c r="H744" s="6" t="s">
        <v>94</v>
      </c>
      <c r="I744" s="6" t="s">
        <v>95</v>
      </c>
      <c r="K744" s="3" t="b">
        <f t="shared" si="3"/>
        <v>0</v>
      </c>
      <c r="L744" s="8"/>
      <c r="M744" s="6">
        <v>1.0</v>
      </c>
      <c r="N744" s="7">
        <v>4950.0</v>
      </c>
      <c r="O744" s="7">
        <f t="shared" si="66"/>
        <v>4950</v>
      </c>
    </row>
    <row r="745">
      <c r="A745" s="6">
        <v>2025.0</v>
      </c>
      <c r="B745" s="6" t="s">
        <v>177</v>
      </c>
      <c r="C745" s="1">
        <f t="shared" si="1"/>
        <v>11</v>
      </c>
      <c r="D745" s="2" t="s">
        <v>65</v>
      </c>
      <c r="E745" s="6">
        <f t="shared" si="2"/>
        <v>2</v>
      </c>
      <c r="F745" s="6" t="s">
        <v>17</v>
      </c>
      <c r="G745" s="6" t="s">
        <v>18</v>
      </c>
      <c r="H745" s="6" t="s">
        <v>85</v>
      </c>
      <c r="I745" s="6" t="s">
        <v>146</v>
      </c>
      <c r="K745" s="3" t="b">
        <f t="shared" si="3"/>
        <v>0</v>
      </c>
      <c r="L745" s="8"/>
      <c r="M745" s="6">
        <v>1.0</v>
      </c>
      <c r="N745" s="7">
        <v>1150.0</v>
      </c>
      <c r="O745" s="7">
        <f t="shared" si="66"/>
        <v>1150</v>
      </c>
    </row>
    <row r="746">
      <c r="A746" s="6">
        <v>2025.0</v>
      </c>
      <c r="B746" s="6" t="s">
        <v>177</v>
      </c>
      <c r="C746" s="1">
        <f t="shared" si="1"/>
        <v>11</v>
      </c>
      <c r="D746" s="2" t="s">
        <v>65</v>
      </c>
      <c r="E746" s="6">
        <f t="shared" si="2"/>
        <v>2</v>
      </c>
      <c r="F746" s="6" t="s">
        <v>17</v>
      </c>
      <c r="G746" s="6" t="s">
        <v>83</v>
      </c>
      <c r="H746" s="6" t="s">
        <v>80</v>
      </c>
      <c r="I746" s="6" t="s">
        <v>84</v>
      </c>
      <c r="K746" s="3" t="b">
        <f t="shared" si="3"/>
        <v>0</v>
      </c>
      <c r="L746" s="8"/>
      <c r="M746" s="6">
        <v>1.0</v>
      </c>
      <c r="N746" s="7">
        <v>2200.0</v>
      </c>
      <c r="O746" s="7">
        <f t="shared" si="66"/>
        <v>2200</v>
      </c>
    </row>
    <row r="747">
      <c r="A747" s="6">
        <v>2025.0</v>
      </c>
      <c r="B747" s="6" t="s">
        <v>178</v>
      </c>
      <c r="C747" s="1">
        <f t="shared" si="1"/>
        <v>12</v>
      </c>
      <c r="D747" s="2" t="s">
        <v>16</v>
      </c>
      <c r="E747" s="6">
        <f t="shared" si="2"/>
        <v>1</v>
      </c>
      <c r="F747" s="6" t="s">
        <v>17</v>
      </c>
      <c r="G747" s="6" t="s">
        <v>18</v>
      </c>
      <c r="H747" s="6" t="s">
        <v>19</v>
      </c>
      <c r="I747" s="6" t="s">
        <v>104</v>
      </c>
      <c r="K747" s="3" t="b">
        <f t="shared" si="3"/>
        <v>0</v>
      </c>
      <c r="L747" s="8"/>
      <c r="M747" s="6">
        <v>1.0</v>
      </c>
      <c r="N747" s="7">
        <v>7990.0</v>
      </c>
      <c r="O747" s="7">
        <f t="shared" si="66"/>
        <v>7990</v>
      </c>
    </row>
    <row r="748">
      <c r="A748" s="6">
        <v>2025.0</v>
      </c>
      <c r="B748" s="6" t="s">
        <v>178</v>
      </c>
      <c r="C748" s="1">
        <f t="shared" si="1"/>
        <v>12</v>
      </c>
      <c r="D748" s="2" t="s">
        <v>16</v>
      </c>
      <c r="E748" s="6">
        <f t="shared" si="2"/>
        <v>1</v>
      </c>
      <c r="F748" s="6" t="s">
        <v>17</v>
      </c>
      <c r="G748" s="6" t="s">
        <v>18</v>
      </c>
      <c r="H748" s="6" t="s">
        <v>27</v>
      </c>
      <c r="I748" s="6" t="s">
        <v>100</v>
      </c>
      <c r="K748" s="3" t="b">
        <f t="shared" si="3"/>
        <v>0</v>
      </c>
      <c r="L748" s="8"/>
      <c r="M748" s="6">
        <v>1.0</v>
      </c>
      <c r="N748" s="7">
        <v>3790.0</v>
      </c>
      <c r="O748" s="7">
        <f t="shared" si="66"/>
        <v>3790</v>
      </c>
    </row>
    <row r="749">
      <c r="A749" s="6">
        <v>2025.0</v>
      </c>
      <c r="B749" s="6" t="s">
        <v>178</v>
      </c>
      <c r="C749" s="1">
        <f t="shared" si="1"/>
        <v>12</v>
      </c>
      <c r="D749" s="2" t="s">
        <v>16</v>
      </c>
      <c r="E749" s="6">
        <f t="shared" si="2"/>
        <v>1</v>
      </c>
      <c r="F749" s="6" t="s">
        <v>17</v>
      </c>
      <c r="G749" s="6" t="s">
        <v>18</v>
      </c>
      <c r="H749" s="6" t="s">
        <v>37</v>
      </c>
      <c r="I749" s="6" t="s">
        <v>87</v>
      </c>
      <c r="K749" s="3" t="b">
        <f t="shared" si="3"/>
        <v>0</v>
      </c>
      <c r="L749" s="8"/>
      <c r="M749" s="6">
        <v>2.0</v>
      </c>
      <c r="N749" s="7">
        <v>4990.0</v>
      </c>
      <c r="O749" s="7">
        <f t="shared" si="66"/>
        <v>9980</v>
      </c>
    </row>
    <row r="750">
      <c r="A750" s="6">
        <v>2025.0</v>
      </c>
      <c r="B750" s="6" t="s">
        <v>178</v>
      </c>
      <c r="C750" s="1">
        <f t="shared" si="1"/>
        <v>12</v>
      </c>
      <c r="D750" s="2" t="s">
        <v>16</v>
      </c>
      <c r="E750" s="6">
        <f t="shared" si="2"/>
        <v>1</v>
      </c>
      <c r="F750" s="6" t="s">
        <v>17</v>
      </c>
      <c r="G750" s="6" t="s">
        <v>18</v>
      </c>
      <c r="H750" s="6" t="s">
        <v>27</v>
      </c>
      <c r="I750" s="6" t="s">
        <v>179</v>
      </c>
      <c r="K750" s="3" t="b">
        <f t="shared" si="3"/>
        <v>0</v>
      </c>
      <c r="L750" s="8"/>
      <c r="M750" s="6">
        <v>1.0</v>
      </c>
      <c r="N750" s="7">
        <v>6990.0</v>
      </c>
      <c r="O750" s="7">
        <f t="shared" si="66"/>
        <v>6990</v>
      </c>
    </row>
    <row r="751">
      <c r="A751" s="6">
        <v>2025.0</v>
      </c>
      <c r="B751" s="6" t="s">
        <v>178</v>
      </c>
      <c r="C751" s="1">
        <f t="shared" si="1"/>
        <v>12</v>
      </c>
      <c r="D751" s="2" t="s">
        <v>16</v>
      </c>
      <c r="E751" s="6">
        <f t="shared" si="2"/>
        <v>1</v>
      </c>
      <c r="F751" s="6" t="s">
        <v>17</v>
      </c>
      <c r="G751" s="6" t="s">
        <v>18</v>
      </c>
      <c r="H751" s="6" t="s">
        <v>27</v>
      </c>
      <c r="I751" s="6" t="s">
        <v>141</v>
      </c>
      <c r="K751" s="3" t="b">
        <f t="shared" si="3"/>
        <v>0</v>
      </c>
      <c r="L751" s="8"/>
      <c r="M751" s="6">
        <v>1.0</v>
      </c>
      <c r="N751" s="7">
        <v>8900.0</v>
      </c>
      <c r="O751" s="7">
        <f t="shared" si="66"/>
        <v>8900</v>
      </c>
    </row>
    <row r="752">
      <c r="A752" s="6">
        <v>2025.0</v>
      </c>
      <c r="B752" s="6" t="s">
        <v>178</v>
      </c>
      <c r="C752" s="1">
        <f t="shared" si="1"/>
        <v>12</v>
      </c>
      <c r="D752" s="2" t="s">
        <v>16</v>
      </c>
      <c r="E752" s="6">
        <f t="shared" si="2"/>
        <v>1</v>
      </c>
      <c r="F752" s="6" t="s">
        <v>17</v>
      </c>
      <c r="G752" s="6" t="s">
        <v>18</v>
      </c>
      <c r="H752" s="6" t="s">
        <v>85</v>
      </c>
      <c r="I752" s="6" t="s">
        <v>146</v>
      </c>
      <c r="K752" s="3" t="b">
        <f t="shared" si="3"/>
        <v>0</v>
      </c>
      <c r="L752" s="8"/>
      <c r="M752" s="6">
        <v>1.0</v>
      </c>
      <c r="N752" s="7">
        <v>1150.0</v>
      </c>
      <c r="O752" s="7">
        <f t="shared" si="66"/>
        <v>1150</v>
      </c>
    </row>
    <row r="753">
      <c r="A753" s="6">
        <v>2025.0</v>
      </c>
      <c r="B753" s="6" t="s">
        <v>178</v>
      </c>
      <c r="C753" s="1">
        <f t="shared" si="1"/>
        <v>12</v>
      </c>
      <c r="D753" s="2" t="s">
        <v>16</v>
      </c>
      <c r="E753" s="6">
        <f t="shared" si="2"/>
        <v>1</v>
      </c>
      <c r="F753" s="6" t="s">
        <v>17</v>
      </c>
      <c r="G753" s="6" t="s">
        <v>18</v>
      </c>
      <c r="H753" s="6" t="s">
        <v>85</v>
      </c>
      <c r="I753" s="6" t="s">
        <v>88</v>
      </c>
      <c r="K753" s="3" t="b">
        <f t="shared" si="3"/>
        <v>0</v>
      </c>
      <c r="L753" s="8"/>
      <c r="M753" s="6">
        <v>1.0</v>
      </c>
      <c r="N753" s="7">
        <v>1150.0</v>
      </c>
      <c r="O753" s="7">
        <f t="shared" si="66"/>
        <v>1150</v>
      </c>
    </row>
    <row r="754">
      <c r="A754" s="6">
        <v>2025.0</v>
      </c>
      <c r="B754" s="6" t="s">
        <v>178</v>
      </c>
      <c r="C754" s="1">
        <f t="shared" si="1"/>
        <v>12</v>
      </c>
      <c r="D754" s="2" t="s">
        <v>16</v>
      </c>
      <c r="E754" s="6">
        <f t="shared" si="2"/>
        <v>1</v>
      </c>
      <c r="F754" s="6" t="s">
        <v>17</v>
      </c>
      <c r="G754" s="6" t="s">
        <v>18</v>
      </c>
      <c r="H754" s="6" t="s">
        <v>94</v>
      </c>
      <c r="I754" s="6" t="s">
        <v>95</v>
      </c>
      <c r="K754" s="3" t="b">
        <f t="shared" si="3"/>
        <v>0</v>
      </c>
      <c r="L754" s="8"/>
      <c r="M754" s="6">
        <v>1.0</v>
      </c>
      <c r="N754" s="7">
        <v>4950.0</v>
      </c>
      <c r="O754" s="7">
        <f t="shared" si="66"/>
        <v>4950</v>
      </c>
    </row>
    <row r="755">
      <c r="A755" s="6">
        <v>2025.0</v>
      </c>
      <c r="B755" s="6" t="s">
        <v>178</v>
      </c>
      <c r="C755" s="1">
        <f t="shared" si="1"/>
        <v>12</v>
      </c>
      <c r="D755" s="2" t="s">
        <v>16</v>
      </c>
      <c r="E755" s="6">
        <f t="shared" si="2"/>
        <v>1</v>
      </c>
      <c r="F755" s="6" t="s">
        <v>17</v>
      </c>
      <c r="G755" s="6" t="s">
        <v>83</v>
      </c>
      <c r="H755" s="6" t="s">
        <v>89</v>
      </c>
      <c r="I755" s="6" t="s">
        <v>180</v>
      </c>
      <c r="K755" s="3" t="b">
        <f t="shared" si="3"/>
        <v>0</v>
      </c>
      <c r="L755" s="8"/>
      <c r="M755" s="6">
        <v>1.0</v>
      </c>
      <c r="N755" s="7">
        <v>1900.0</v>
      </c>
      <c r="O755" s="7">
        <f t="shared" si="66"/>
        <v>1900</v>
      </c>
    </row>
    <row r="756">
      <c r="A756" s="6">
        <v>2025.0</v>
      </c>
      <c r="B756" s="6" t="s">
        <v>178</v>
      </c>
      <c r="C756" s="1">
        <f t="shared" si="1"/>
        <v>12</v>
      </c>
      <c r="D756" s="2" t="s">
        <v>16</v>
      </c>
      <c r="E756" s="6">
        <f t="shared" si="2"/>
        <v>1</v>
      </c>
      <c r="F756" s="6" t="s">
        <v>17</v>
      </c>
      <c r="G756" s="6" t="s">
        <v>79</v>
      </c>
      <c r="H756" s="6" t="s">
        <v>96</v>
      </c>
      <c r="I756" s="6" t="s">
        <v>113</v>
      </c>
      <c r="K756" s="3" t="b">
        <f t="shared" si="3"/>
        <v>0</v>
      </c>
      <c r="L756" s="8"/>
      <c r="M756" s="6">
        <v>1.0</v>
      </c>
      <c r="N756" s="7">
        <v>5100.0</v>
      </c>
      <c r="O756" s="7">
        <f t="shared" si="66"/>
        <v>5100</v>
      </c>
    </row>
    <row r="757">
      <c r="A757" s="6">
        <v>2025.0</v>
      </c>
      <c r="B757" s="6" t="s">
        <v>178</v>
      </c>
      <c r="C757" s="1">
        <f t="shared" si="1"/>
        <v>12</v>
      </c>
      <c r="D757" s="2" t="s">
        <v>16</v>
      </c>
      <c r="E757" s="6">
        <f t="shared" si="2"/>
        <v>1</v>
      </c>
      <c r="F757" s="6" t="s">
        <v>17</v>
      </c>
      <c r="G757" s="6" t="s">
        <v>79</v>
      </c>
      <c r="H757" s="6" t="s">
        <v>96</v>
      </c>
      <c r="I757" s="6" t="s">
        <v>171</v>
      </c>
      <c r="K757" s="3" t="b">
        <f t="shared" si="3"/>
        <v>0</v>
      </c>
      <c r="L757" s="8"/>
      <c r="M757" s="6">
        <v>1.0</v>
      </c>
      <c r="N757" s="7">
        <v>3490.0</v>
      </c>
      <c r="O757" s="7">
        <f t="shared" si="66"/>
        <v>3490</v>
      </c>
    </row>
    <row r="758">
      <c r="A758" s="6">
        <v>2025.0</v>
      </c>
      <c r="B758" s="6" t="s">
        <v>178</v>
      </c>
      <c r="C758" s="1">
        <f t="shared" si="1"/>
        <v>12</v>
      </c>
      <c r="D758" s="2" t="s">
        <v>16</v>
      </c>
      <c r="E758" s="6">
        <f t="shared" si="2"/>
        <v>1</v>
      </c>
      <c r="F758" s="6" t="s">
        <v>17</v>
      </c>
      <c r="G758" s="6" t="s">
        <v>79</v>
      </c>
      <c r="H758" s="6" t="s">
        <v>96</v>
      </c>
      <c r="I758" s="6" t="s">
        <v>181</v>
      </c>
      <c r="K758" s="3" t="b">
        <f t="shared" si="3"/>
        <v>0</v>
      </c>
      <c r="L758" s="8"/>
      <c r="M758" s="6">
        <v>1.0</v>
      </c>
      <c r="N758" s="7">
        <v>2850.0</v>
      </c>
      <c r="O758" s="7">
        <f t="shared" si="66"/>
        <v>2850</v>
      </c>
    </row>
    <row r="759">
      <c r="A759" s="6">
        <v>2025.0</v>
      </c>
      <c r="B759" s="6" t="s">
        <v>178</v>
      </c>
      <c r="C759" s="1">
        <f t="shared" si="1"/>
        <v>12</v>
      </c>
      <c r="D759" s="2" t="s">
        <v>16</v>
      </c>
      <c r="E759" s="6">
        <f t="shared" si="2"/>
        <v>1</v>
      </c>
      <c r="F759" s="6" t="s">
        <v>30</v>
      </c>
      <c r="G759" s="6" t="s">
        <v>18</v>
      </c>
      <c r="H759" s="6" t="s">
        <v>37</v>
      </c>
      <c r="I759" s="6" t="s">
        <v>68</v>
      </c>
      <c r="K759" s="3" t="b">
        <f t="shared" si="3"/>
        <v>0</v>
      </c>
      <c r="L759" s="3">
        <v>1585.0</v>
      </c>
      <c r="N759" s="7">
        <v>26980.0</v>
      </c>
      <c r="O759" s="7">
        <f t="shared" ref="O759:O779" si="67">N759*L759/1000</f>
        <v>42763.3</v>
      </c>
    </row>
    <row r="760">
      <c r="A760" s="6">
        <v>2025.0</v>
      </c>
      <c r="B760" s="6" t="s">
        <v>178</v>
      </c>
      <c r="C760" s="1">
        <f t="shared" si="1"/>
        <v>12</v>
      </c>
      <c r="D760" s="2" t="s">
        <v>16</v>
      </c>
      <c r="E760" s="6">
        <f t="shared" si="2"/>
        <v>1</v>
      </c>
      <c r="F760" s="6" t="s">
        <v>30</v>
      </c>
      <c r="G760" s="6" t="s">
        <v>18</v>
      </c>
      <c r="H760" s="6" t="s">
        <v>37</v>
      </c>
      <c r="I760" s="6" t="s">
        <v>47</v>
      </c>
      <c r="K760" s="3" t="b">
        <f t="shared" si="3"/>
        <v>0</v>
      </c>
      <c r="L760" s="3">
        <v>1140.0</v>
      </c>
      <c r="N760" s="7">
        <v>34980.0</v>
      </c>
      <c r="O760" s="7">
        <f t="shared" si="67"/>
        <v>39877.2</v>
      </c>
    </row>
    <row r="761">
      <c r="A761" s="6">
        <v>2025.0</v>
      </c>
      <c r="B761" s="6" t="s">
        <v>178</v>
      </c>
      <c r="C761" s="1">
        <f t="shared" si="1"/>
        <v>12</v>
      </c>
      <c r="D761" s="2" t="s">
        <v>16</v>
      </c>
      <c r="E761" s="6">
        <f t="shared" si="2"/>
        <v>1</v>
      </c>
      <c r="F761" s="6" t="s">
        <v>30</v>
      </c>
      <c r="G761" s="6" t="s">
        <v>18</v>
      </c>
      <c r="H761" s="6" t="s">
        <v>37</v>
      </c>
      <c r="I761" s="6" t="s">
        <v>67</v>
      </c>
      <c r="K761" s="3" t="b">
        <f t="shared" si="3"/>
        <v>0</v>
      </c>
      <c r="L761" s="3">
        <v>1080.0</v>
      </c>
      <c r="N761" s="7">
        <v>16980.0</v>
      </c>
      <c r="O761" s="7">
        <f t="shared" si="67"/>
        <v>18338.4</v>
      </c>
    </row>
    <row r="762">
      <c r="A762" s="6">
        <v>2025.0</v>
      </c>
      <c r="B762" s="6" t="s">
        <v>178</v>
      </c>
      <c r="C762" s="1">
        <f t="shared" si="1"/>
        <v>12</v>
      </c>
      <c r="D762" s="2" t="s">
        <v>16</v>
      </c>
      <c r="E762" s="6">
        <f t="shared" si="2"/>
        <v>1</v>
      </c>
      <c r="F762" s="6" t="s">
        <v>30</v>
      </c>
      <c r="G762" s="6" t="s">
        <v>18</v>
      </c>
      <c r="H762" s="6" t="s">
        <v>37</v>
      </c>
      <c r="I762" s="6" t="s">
        <v>107</v>
      </c>
      <c r="K762" s="3" t="b">
        <f t="shared" si="3"/>
        <v>0</v>
      </c>
      <c r="L762" s="3">
        <v>1200.0</v>
      </c>
      <c r="N762" s="7">
        <v>33980.0</v>
      </c>
      <c r="O762" s="7">
        <f t="shared" si="67"/>
        <v>40776</v>
      </c>
    </row>
    <row r="763">
      <c r="A763" s="6">
        <v>2025.0</v>
      </c>
      <c r="B763" s="6" t="s">
        <v>178</v>
      </c>
      <c r="C763" s="1">
        <f t="shared" si="1"/>
        <v>12</v>
      </c>
      <c r="D763" s="2" t="s">
        <v>16</v>
      </c>
      <c r="E763" s="6">
        <f t="shared" si="2"/>
        <v>1</v>
      </c>
      <c r="F763" s="6" t="s">
        <v>30</v>
      </c>
      <c r="G763" s="6" t="s">
        <v>18</v>
      </c>
      <c r="H763" s="6" t="s">
        <v>37</v>
      </c>
      <c r="I763" s="6" t="s">
        <v>60</v>
      </c>
      <c r="K763" s="3" t="b">
        <f t="shared" si="3"/>
        <v>0</v>
      </c>
      <c r="L763" s="3">
        <v>5890.0</v>
      </c>
      <c r="N763" s="7">
        <v>10980.0</v>
      </c>
      <c r="O763" s="7">
        <f t="shared" si="67"/>
        <v>64672.2</v>
      </c>
    </row>
    <row r="764">
      <c r="A764" s="6">
        <v>2025.0</v>
      </c>
      <c r="B764" s="6" t="s">
        <v>178</v>
      </c>
      <c r="C764" s="1">
        <f t="shared" si="1"/>
        <v>12</v>
      </c>
      <c r="D764" s="2" t="s">
        <v>16</v>
      </c>
      <c r="E764" s="6">
        <f t="shared" si="2"/>
        <v>1</v>
      </c>
      <c r="F764" s="6" t="s">
        <v>30</v>
      </c>
      <c r="G764" s="6" t="s">
        <v>18</v>
      </c>
      <c r="H764" s="6" t="s">
        <v>49</v>
      </c>
      <c r="I764" s="6" t="s">
        <v>50</v>
      </c>
      <c r="K764" s="3" t="b">
        <f t="shared" si="3"/>
        <v>0</v>
      </c>
      <c r="L764" s="3">
        <v>3810.0</v>
      </c>
      <c r="N764" s="7">
        <v>1980.0</v>
      </c>
      <c r="O764" s="7">
        <f t="shared" si="67"/>
        <v>7543.8</v>
      </c>
    </row>
    <row r="765">
      <c r="A765" s="6">
        <v>2025.0</v>
      </c>
      <c r="B765" s="6" t="s">
        <v>178</v>
      </c>
      <c r="C765" s="1">
        <f t="shared" si="1"/>
        <v>12</v>
      </c>
      <c r="D765" s="2" t="s">
        <v>16</v>
      </c>
      <c r="E765" s="6">
        <f t="shared" si="2"/>
        <v>1</v>
      </c>
      <c r="F765" s="6" t="s">
        <v>30</v>
      </c>
      <c r="G765" s="6" t="s">
        <v>18</v>
      </c>
      <c r="H765" s="6" t="s">
        <v>49</v>
      </c>
      <c r="I765" s="6" t="s">
        <v>62</v>
      </c>
      <c r="K765" s="3" t="b">
        <f t="shared" si="3"/>
        <v>0</v>
      </c>
      <c r="L765" s="3">
        <v>3950.0</v>
      </c>
      <c r="N765" s="7">
        <v>2980.0</v>
      </c>
      <c r="O765" s="7">
        <f t="shared" si="67"/>
        <v>11771</v>
      </c>
    </row>
    <row r="766">
      <c r="A766" s="6">
        <v>2025.0</v>
      </c>
      <c r="B766" s="6" t="s">
        <v>178</v>
      </c>
      <c r="C766" s="1">
        <f t="shared" si="1"/>
        <v>12</v>
      </c>
      <c r="D766" s="2" t="s">
        <v>16</v>
      </c>
      <c r="E766" s="6">
        <f t="shared" si="2"/>
        <v>1</v>
      </c>
      <c r="F766" s="6" t="s">
        <v>30</v>
      </c>
      <c r="G766" s="6" t="s">
        <v>18</v>
      </c>
      <c r="H766" s="6" t="s">
        <v>49</v>
      </c>
      <c r="I766" s="6" t="s">
        <v>63</v>
      </c>
      <c r="K766" s="3" t="b">
        <f t="shared" si="3"/>
        <v>0</v>
      </c>
      <c r="L766" s="3">
        <v>1540.0</v>
      </c>
      <c r="N766" s="7">
        <v>1980.0</v>
      </c>
      <c r="O766" s="7">
        <f t="shared" si="67"/>
        <v>3049.2</v>
      </c>
    </row>
    <row r="767">
      <c r="A767" s="6">
        <v>2025.0</v>
      </c>
      <c r="B767" s="6" t="s">
        <v>178</v>
      </c>
      <c r="C767" s="1">
        <f t="shared" si="1"/>
        <v>12</v>
      </c>
      <c r="D767" s="2" t="s">
        <v>16</v>
      </c>
      <c r="E767" s="6">
        <f t="shared" si="2"/>
        <v>1</v>
      </c>
      <c r="F767" s="6" t="s">
        <v>30</v>
      </c>
      <c r="G767" s="6" t="s">
        <v>18</v>
      </c>
      <c r="H767" s="6" t="s">
        <v>33</v>
      </c>
      <c r="I767" s="6" t="s">
        <v>59</v>
      </c>
      <c r="K767" s="3" t="b">
        <f t="shared" si="3"/>
        <v>0</v>
      </c>
      <c r="L767" s="3">
        <v>1560.0</v>
      </c>
      <c r="N767" s="7">
        <v>3380.0</v>
      </c>
      <c r="O767" s="7">
        <f t="shared" si="67"/>
        <v>5272.8</v>
      </c>
    </row>
    <row r="768">
      <c r="A768" s="6">
        <v>2025.0</v>
      </c>
      <c r="B768" s="6" t="s">
        <v>178</v>
      </c>
      <c r="C768" s="1">
        <f t="shared" si="1"/>
        <v>12</v>
      </c>
      <c r="D768" s="2" t="s">
        <v>16</v>
      </c>
      <c r="E768" s="6">
        <f t="shared" si="2"/>
        <v>1</v>
      </c>
      <c r="F768" s="6" t="s">
        <v>30</v>
      </c>
      <c r="G768" s="6" t="s">
        <v>18</v>
      </c>
      <c r="H768" s="6" t="s">
        <v>49</v>
      </c>
      <c r="I768" s="6" t="s">
        <v>58</v>
      </c>
      <c r="K768" s="3" t="b">
        <f t="shared" si="3"/>
        <v>0</v>
      </c>
      <c r="L768" s="3">
        <v>1230.0</v>
      </c>
      <c r="N768" s="7">
        <v>5380.0</v>
      </c>
      <c r="O768" s="7">
        <f t="shared" si="67"/>
        <v>6617.4</v>
      </c>
    </row>
    <row r="769">
      <c r="A769" s="6">
        <v>2025.0</v>
      </c>
      <c r="B769" s="6" t="s">
        <v>178</v>
      </c>
      <c r="C769" s="1">
        <f t="shared" si="1"/>
        <v>12</v>
      </c>
      <c r="D769" s="2" t="s">
        <v>16</v>
      </c>
      <c r="E769" s="6">
        <f t="shared" si="2"/>
        <v>1</v>
      </c>
      <c r="F769" s="6" t="s">
        <v>30</v>
      </c>
      <c r="G769" s="6" t="s">
        <v>18</v>
      </c>
      <c r="H769" s="6" t="s">
        <v>49</v>
      </c>
      <c r="I769" s="6" t="s">
        <v>57</v>
      </c>
      <c r="K769" s="3" t="b">
        <f t="shared" si="3"/>
        <v>0</v>
      </c>
      <c r="L769" s="3">
        <v>1920.0</v>
      </c>
      <c r="N769" s="7">
        <v>2100.0</v>
      </c>
      <c r="O769" s="7">
        <f t="shared" si="67"/>
        <v>4032</v>
      </c>
    </row>
    <row r="770">
      <c r="A770" s="6">
        <v>2025.0</v>
      </c>
      <c r="B770" s="6" t="s">
        <v>178</v>
      </c>
      <c r="C770" s="1">
        <f t="shared" si="1"/>
        <v>12</v>
      </c>
      <c r="D770" s="2" t="s">
        <v>16</v>
      </c>
      <c r="E770" s="6">
        <f t="shared" si="2"/>
        <v>1</v>
      </c>
      <c r="F770" s="6" t="s">
        <v>30</v>
      </c>
      <c r="G770" s="6" t="s">
        <v>18</v>
      </c>
      <c r="H770" s="6" t="s">
        <v>49</v>
      </c>
      <c r="I770" s="6" t="s">
        <v>168</v>
      </c>
      <c r="K770" s="3" t="b">
        <f t="shared" si="3"/>
        <v>0</v>
      </c>
      <c r="L770" s="3">
        <v>820.0</v>
      </c>
      <c r="N770" s="7">
        <v>3780.0</v>
      </c>
      <c r="O770" s="7">
        <f t="shared" si="67"/>
        <v>3099.6</v>
      </c>
    </row>
    <row r="771">
      <c r="A771" s="6">
        <v>2025.0</v>
      </c>
      <c r="B771" s="6" t="s">
        <v>178</v>
      </c>
      <c r="C771" s="1">
        <f t="shared" si="1"/>
        <v>12</v>
      </c>
      <c r="D771" s="2" t="s">
        <v>16</v>
      </c>
      <c r="E771" s="6">
        <f t="shared" si="2"/>
        <v>1</v>
      </c>
      <c r="F771" s="6" t="s">
        <v>30</v>
      </c>
      <c r="G771" s="6" t="s">
        <v>18</v>
      </c>
      <c r="H771" s="6" t="s">
        <v>33</v>
      </c>
      <c r="I771" s="6" t="s">
        <v>149</v>
      </c>
      <c r="K771" s="3" t="b">
        <f t="shared" si="3"/>
        <v>0</v>
      </c>
      <c r="L771" s="3">
        <v>730.0</v>
      </c>
      <c r="N771" s="7">
        <v>3980.0</v>
      </c>
      <c r="O771" s="7">
        <f t="shared" si="67"/>
        <v>2905.4</v>
      </c>
    </row>
    <row r="772">
      <c r="A772" s="6">
        <v>2025.0</v>
      </c>
      <c r="B772" s="6" t="s">
        <v>178</v>
      </c>
      <c r="C772" s="1">
        <f t="shared" si="1"/>
        <v>12</v>
      </c>
      <c r="D772" s="2" t="s">
        <v>16</v>
      </c>
      <c r="E772" s="6">
        <f t="shared" si="2"/>
        <v>1</v>
      </c>
      <c r="F772" s="6" t="s">
        <v>30</v>
      </c>
      <c r="G772" s="6" t="s">
        <v>18</v>
      </c>
      <c r="H772" s="6" t="s">
        <v>49</v>
      </c>
      <c r="I772" s="6" t="s">
        <v>182</v>
      </c>
      <c r="K772" s="3" t="b">
        <f t="shared" si="3"/>
        <v>0</v>
      </c>
      <c r="L772" s="3">
        <v>480.0</v>
      </c>
      <c r="N772" s="7">
        <v>2500.0</v>
      </c>
      <c r="O772" s="7">
        <f t="shared" si="67"/>
        <v>1200</v>
      </c>
    </row>
    <row r="773">
      <c r="A773" s="6">
        <v>2025.0</v>
      </c>
      <c r="B773" s="6" t="s">
        <v>178</v>
      </c>
      <c r="C773" s="1">
        <f t="shared" si="1"/>
        <v>12</v>
      </c>
      <c r="D773" s="2" t="s">
        <v>16</v>
      </c>
      <c r="E773" s="6">
        <f t="shared" si="2"/>
        <v>1</v>
      </c>
      <c r="F773" s="6" t="s">
        <v>30</v>
      </c>
      <c r="G773" s="6" t="s">
        <v>18</v>
      </c>
      <c r="H773" s="6" t="s">
        <v>49</v>
      </c>
      <c r="I773" s="6" t="s">
        <v>142</v>
      </c>
      <c r="K773" s="3" t="b">
        <f t="shared" si="3"/>
        <v>0</v>
      </c>
      <c r="L773" s="3">
        <v>280.0</v>
      </c>
      <c r="N773" s="7">
        <v>4980.0</v>
      </c>
      <c r="O773" s="7">
        <f t="shared" si="67"/>
        <v>1394.4</v>
      </c>
    </row>
    <row r="774">
      <c r="A774" s="6">
        <v>2025.0</v>
      </c>
      <c r="B774" s="6" t="s">
        <v>178</v>
      </c>
      <c r="C774" s="1">
        <f t="shared" si="1"/>
        <v>12</v>
      </c>
      <c r="D774" s="2" t="s">
        <v>16</v>
      </c>
      <c r="E774" s="6">
        <f t="shared" si="2"/>
        <v>1</v>
      </c>
      <c r="F774" s="6" t="s">
        <v>30</v>
      </c>
      <c r="G774" s="6" t="s">
        <v>18</v>
      </c>
      <c r="H774" s="6" t="s">
        <v>33</v>
      </c>
      <c r="I774" s="6" t="s">
        <v>34</v>
      </c>
      <c r="K774" s="3" t="b">
        <f t="shared" si="3"/>
        <v>0</v>
      </c>
      <c r="L774" s="3">
        <v>1280.0</v>
      </c>
      <c r="N774" s="7">
        <v>7780.0</v>
      </c>
      <c r="O774" s="7">
        <f t="shared" si="67"/>
        <v>9958.4</v>
      </c>
    </row>
    <row r="775">
      <c r="A775" s="6">
        <v>2025.0</v>
      </c>
      <c r="B775" s="6" t="s">
        <v>178</v>
      </c>
      <c r="C775" s="1">
        <f t="shared" si="1"/>
        <v>12</v>
      </c>
      <c r="D775" s="2" t="s">
        <v>16</v>
      </c>
      <c r="E775" s="6">
        <f t="shared" si="2"/>
        <v>1</v>
      </c>
      <c r="F775" s="6" t="s">
        <v>30</v>
      </c>
      <c r="G775" s="6" t="s">
        <v>18</v>
      </c>
      <c r="H775" s="6" t="s">
        <v>33</v>
      </c>
      <c r="I775" s="6" t="s">
        <v>176</v>
      </c>
      <c r="K775" s="3" t="b">
        <f t="shared" si="3"/>
        <v>0</v>
      </c>
      <c r="L775" s="3">
        <v>580.0</v>
      </c>
      <c r="N775" s="7">
        <v>2580.0</v>
      </c>
      <c r="O775" s="7">
        <f t="shared" si="67"/>
        <v>1496.4</v>
      </c>
    </row>
    <row r="776">
      <c r="A776" s="6">
        <v>2025.0</v>
      </c>
      <c r="B776" s="6" t="s">
        <v>178</v>
      </c>
      <c r="C776" s="1">
        <f t="shared" si="1"/>
        <v>12</v>
      </c>
      <c r="D776" s="2" t="s">
        <v>16</v>
      </c>
      <c r="E776" s="6">
        <f t="shared" si="2"/>
        <v>1</v>
      </c>
      <c r="F776" s="6" t="s">
        <v>30</v>
      </c>
      <c r="G776" s="6" t="s">
        <v>18</v>
      </c>
      <c r="H776" s="6" t="s">
        <v>33</v>
      </c>
      <c r="I776" s="6" t="s">
        <v>70</v>
      </c>
      <c r="K776" s="3" t="b">
        <f t="shared" si="3"/>
        <v>0</v>
      </c>
      <c r="L776" s="3">
        <v>1680.0</v>
      </c>
      <c r="N776" s="7">
        <v>2780.0</v>
      </c>
      <c r="O776" s="7">
        <f t="shared" si="67"/>
        <v>4670.4</v>
      </c>
    </row>
    <row r="777">
      <c r="A777" s="6">
        <v>2025.0</v>
      </c>
      <c r="B777" s="6" t="s">
        <v>178</v>
      </c>
      <c r="C777" s="1">
        <f t="shared" si="1"/>
        <v>12</v>
      </c>
      <c r="D777" s="2" t="s">
        <v>16</v>
      </c>
      <c r="E777" s="6">
        <f t="shared" si="2"/>
        <v>1</v>
      </c>
      <c r="F777" s="6" t="s">
        <v>30</v>
      </c>
      <c r="G777" s="6" t="s">
        <v>18</v>
      </c>
      <c r="H777" s="6" t="s">
        <v>33</v>
      </c>
      <c r="I777" s="6" t="s">
        <v>148</v>
      </c>
      <c r="K777" s="3" t="b">
        <f t="shared" si="3"/>
        <v>0</v>
      </c>
      <c r="L777" s="3">
        <v>680.0</v>
      </c>
      <c r="N777" s="7">
        <v>3380.0</v>
      </c>
      <c r="O777" s="7">
        <f t="shared" si="67"/>
        <v>2298.4</v>
      </c>
    </row>
    <row r="778">
      <c r="A778" s="6">
        <v>2025.0</v>
      </c>
      <c r="B778" s="6" t="s">
        <v>178</v>
      </c>
      <c r="C778" s="1">
        <f t="shared" si="1"/>
        <v>12</v>
      </c>
      <c r="D778" s="2" t="s">
        <v>16</v>
      </c>
      <c r="E778" s="6">
        <f t="shared" si="2"/>
        <v>1</v>
      </c>
      <c r="F778" s="6" t="s">
        <v>30</v>
      </c>
      <c r="G778" s="6" t="s">
        <v>18</v>
      </c>
      <c r="H778" s="6" t="s">
        <v>49</v>
      </c>
      <c r="I778" s="6" t="s">
        <v>153</v>
      </c>
      <c r="K778" s="3" t="b">
        <f t="shared" si="3"/>
        <v>0</v>
      </c>
      <c r="L778" s="3">
        <v>460.0</v>
      </c>
      <c r="N778" s="7">
        <v>4400.0</v>
      </c>
      <c r="O778" s="7">
        <f t="shared" si="67"/>
        <v>2024</v>
      </c>
    </row>
    <row r="779">
      <c r="A779" s="6">
        <v>2025.0</v>
      </c>
      <c r="B779" s="6" t="s">
        <v>178</v>
      </c>
      <c r="C779" s="1">
        <f t="shared" si="1"/>
        <v>12</v>
      </c>
      <c r="D779" s="2" t="s">
        <v>16</v>
      </c>
      <c r="E779" s="6">
        <f t="shared" si="2"/>
        <v>1</v>
      </c>
      <c r="F779" s="6" t="s">
        <v>30</v>
      </c>
      <c r="G779" s="6" t="s">
        <v>18</v>
      </c>
      <c r="H779" s="6" t="s">
        <v>49</v>
      </c>
      <c r="I779" s="6" t="s">
        <v>71</v>
      </c>
      <c r="K779" s="3" t="b">
        <f t="shared" si="3"/>
        <v>0</v>
      </c>
      <c r="L779" s="3">
        <v>490.0</v>
      </c>
      <c r="N779" s="7">
        <v>3180.0</v>
      </c>
      <c r="O779" s="7">
        <f t="shared" si="67"/>
        <v>1558.2</v>
      </c>
    </row>
    <row r="780">
      <c r="A780" s="6">
        <v>2025.0</v>
      </c>
      <c r="B780" s="6" t="s">
        <v>178</v>
      </c>
      <c r="C780" s="1">
        <f t="shared" si="1"/>
        <v>12</v>
      </c>
      <c r="D780" s="2" t="s">
        <v>16</v>
      </c>
      <c r="E780" s="6">
        <f t="shared" si="2"/>
        <v>1</v>
      </c>
      <c r="F780" s="6" t="s">
        <v>30</v>
      </c>
      <c r="G780" s="6" t="s">
        <v>18</v>
      </c>
      <c r="H780" s="6" t="s">
        <v>19</v>
      </c>
      <c r="I780" s="6" t="s">
        <v>129</v>
      </c>
      <c r="K780" s="3" t="b">
        <f t="shared" si="3"/>
        <v>0</v>
      </c>
      <c r="L780" s="3">
        <v>1000.0</v>
      </c>
      <c r="M780" s="6">
        <v>1.0</v>
      </c>
      <c r="N780" s="7">
        <v>22990.0</v>
      </c>
      <c r="O780" s="7">
        <f>N780*M780</f>
        <v>22990</v>
      </c>
    </row>
    <row r="781">
      <c r="A781" s="6">
        <v>2025.0</v>
      </c>
      <c r="B781" s="6" t="s">
        <v>178</v>
      </c>
      <c r="C781" s="1">
        <f t="shared" si="1"/>
        <v>12</v>
      </c>
      <c r="D781" s="2" t="s">
        <v>16</v>
      </c>
      <c r="E781" s="6">
        <f t="shared" si="2"/>
        <v>1</v>
      </c>
      <c r="F781" s="6" t="s">
        <v>30</v>
      </c>
      <c r="G781" s="14" t="s">
        <v>18</v>
      </c>
      <c r="H781" s="6" t="s">
        <v>19</v>
      </c>
      <c r="I781" s="6" t="s">
        <v>183</v>
      </c>
      <c r="K781" s="3" t="b">
        <f t="shared" si="3"/>
        <v>0</v>
      </c>
      <c r="L781" s="3">
        <v>510.0</v>
      </c>
      <c r="N781" s="7">
        <v>17980.0</v>
      </c>
      <c r="O781" s="7">
        <f>N781*L781/1000</f>
        <v>9169.8</v>
      </c>
    </row>
    <row r="782">
      <c r="A782" s="6">
        <v>2025.0</v>
      </c>
      <c r="B782" s="6" t="s">
        <v>178</v>
      </c>
      <c r="C782" s="1">
        <f t="shared" si="1"/>
        <v>12</v>
      </c>
      <c r="D782" s="2" t="s">
        <v>16</v>
      </c>
      <c r="E782" s="6">
        <f t="shared" si="2"/>
        <v>1</v>
      </c>
      <c r="F782" s="6" t="s">
        <v>30</v>
      </c>
      <c r="G782" s="14" t="s">
        <v>18</v>
      </c>
      <c r="H782" s="6" t="s">
        <v>19</v>
      </c>
      <c r="I782" s="6" t="s">
        <v>184</v>
      </c>
      <c r="K782" s="3" t="b">
        <f t="shared" si="3"/>
        <v>0</v>
      </c>
      <c r="L782" s="3">
        <v>380.0</v>
      </c>
      <c r="M782" s="6">
        <v>1.0</v>
      </c>
      <c r="N782" s="7">
        <v>9200.0</v>
      </c>
      <c r="O782" s="7">
        <f t="shared" ref="O782:O796" si="68">N782*M782</f>
        <v>9200</v>
      </c>
    </row>
    <row r="783">
      <c r="A783" s="6">
        <v>2025.0</v>
      </c>
      <c r="B783" s="6" t="s">
        <v>178</v>
      </c>
      <c r="C783" s="1">
        <f t="shared" si="1"/>
        <v>12</v>
      </c>
      <c r="D783" s="2" t="s">
        <v>16</v>
      </c>
      <c r="E783" s="6">
        <f t="shared" si="2"/>
        <v>1</v>
      </c>
      <c r="F783" s="6" t="s">
        <v>30</v>
      </c>
      <c r="G783" s="6" t="s">
        <v>18</v>
      </c>
      <c r="H783" s="6" t="s">
        <v>76</v>
      </c>
      <c r="I783" s="6" t="s">
        <v>77</v>
      </c>
      <c r="K783" s="3" t="b">
        <f t="shared" si="3"/>
        <v>0</v>
      </c>
      <c r="L783" s="3">
        <v>570.0</v>
      </c>
      <c r="M783" s="6">
        <v>1.0</v>
      </c>
      <c r="N783" s="7">
        <v>7150.0</v>
      </c>
      <c r="O783" s="7">
        <f t="shared" si="68"/>
        <v>7150</v>
      </c>
    </row>
    <row r="784">
      <c r="A784" s="6">
        <v>2025.0</v>
      </c>
      <c r="B784" s="6" t="s">
        <v>178</v>
      </c>
      <c r="C784" s="1">
        <f t="shared" si="1"/>
        <v>12</v>
      </c>
      <c r="D784" s="2" t="s">
        <v>16</v>
      </c>
      <c r="E784" s="6">
        <f t="shared" si="2"/>
        <v>1</v>
      </c>
      <c r="F784" s="6" t="s">
        <v>30</v>
      </c>
      <c r="G784" s="6" t="s">
        <v>18</v>
      </c>
      <c r="H784" s="6" t="s">
        <v>27</v>
      </c>
      <c r="I784" s="6" t="s">
        <v>112</v>
      </c>
      <c r="K784" s="3" t="b">
        <f t="shared" si="3"/>
        <v>0</v>
      </c>
      <c r="L784" s="3">
        <v>55.0</v>
      </c>
      <c r="M784" s="6">
        <v>1.0</v>
      </c>
      <c r="N784" s="7">
        <v>1990.0</v>
      </c>
      <c r="O784" s="7">
        <f t="shared" si="68"/>
        <v>1990</v>
      </c>
    </row>
    <row r="785">
      <c r="A785" s="6">
        <v>2025.0</v>
      </c>
      <c r="B785" s="6" t="s">
        <v>178</v>
      </c>
      <c r="C785" s="1">
        <f t="shared" si="1"/>
        <v>12</v>
      </c>
      <c r="D785" s="2" t="s">
        <v>16</v>
      </c>
      <c r="E785" s="6">
        <f t="shared" si="2"/>
        <v>1</v>
      </c>
      <c r="F785" s="6" t="s">
        <v>30</v>
      </c>
      <c r="G785" s="6" t="s">
        <v>18</v>
      </c>
      <c r="H785" s="6" t="s">
        <v>27</v>
      </c>
      <c r="I785" s="6" t="s">
        <v>185</v>
      </c>
      <c r="K785" s="3" t="b">
        <f t="shared" si="3"/>
        <v>0</v>
      </c>
      <c r="L785" s="3">
        <v>125.0</v>
      </c>
      <c r="M785" s="6">
        <v>1.0</v>
      </c>
      <c r="N785" s="7">
        <v>2950.0</v>
      </c>
      <c r="O785" s="7">
        <f t="shared" si="68"/>
        <v>2950</v>
      </c>
    </row>
    <row r="786">
      <c r="A786" s="6">
        <v>2025.0</v>
      </c>
      <c r="B786" s="6" t="s">
        <v>178</v>
      </c>
      <c r="C786" s="1">
        <f t="shared" si="1"/>
        <v>12</v>
      </c>
      <c r="D786" s="2" t="s">
        <v>16</v>
      </c>
      <c r="E786" s="6">
        <f t="shared" si="2"/>
        <v>1</v>
      </c>
      <c r="F786" s="6" t="s">
        <v>30</v>
      </c>
      <c r="G786" s="6" t="s">
        <v>18</v>
      </c>
      <c r="H786" s="6" t="s">
        <v>37</v>
      </c>
      <c r="I786" s="6" t="s">
        <v>38</v>
      </c>
      <c r="K786" s="3" t="b">
        <f t="shared" si="3"/>
        <v>0</v>
      </c>
      <c r="L786" s="3">
        <v>142.0</v>
      </c>
      <c r="M786" s="6">
        <v>3.0</v>
      </c>
      <c r="N786" s="7">
        <v>5450.0</v>
      </c>
      <c r="O786" s="7">
        <f t="shared" si="68"/>
        <v>16350</v>
      </c>
    </row>
    <row r="787">
      <c r="A787" s="6">
        <v>2025.0</v>
      </c>
      <c r="B787" s="6" t="s">
        <v>178</v>
      </c>
      <c r="C787" s="1">
        <f t="shared" si="1"/>
        <v>12</v>
      </c>
      <c r="D787" s="2" t="s">
        <v>16</v>
      </c>
      <c r="E787" s="6">
        <f t="shared" si="2"/>
        <v>1</v>
      </c>
      <c r="F787" s="6" t="s">
        <v>30</v>
      </c>
      <c r="G787" s="6" t="s">
        <v>18</v>
      </c>
      <c r="H787" s="6" t="s">
        <v>92</v>
      </c>
      <c r="I787" s="6" t="s">
        <v>122</v>
      </c>
      <c r="K787" s="3" t="b">
        <f t="shared" si="3"/>
        <v>0</v>
      </c>
      <c r="L787" s="3">
        <v>500.0</v>
      </c>
      <c r="M787" s="6">
        <v>2.0</v>
      </c>
      <c r="N787" s="7">
        <v>1500.0</v>
      </c>
      <c r="O787" s="7">
        <f t="shared" si="68"/>
        <v>3000</v>
      </c>
    </row>
    <row r="788">
      <c r="A788" s="6">
        <v>2025.0</v>
      </c>
      <c r="B788" s="6" t="s">
        <v>178</v>
      </c>
      <c r="C788" s="1">
        <f t="shared" si="1"/>
        <v>12</v>
      </c>
      <c r="D788" s="2" t="s">
        <v>16</v>
      </c>
      <c r="E788" s="6">
        <f t="shared" si="2"/>
        <v>1</v>
      </c>
      <c r="F788" s="6" t="s">
        <v>30</v>
      </c>
      <c r="G788" s="6" t="s">
        <v>18</v>
      </c>
      <c r="H788" s="6" t="s">
        <v>52</v>
      </c>
      <c r="I788" s="6" t="s">
        <v>55</v>
      </c>
      <c r="K788" s="3" t="b">
        <f t="shared" si="3"/>
        <v>0</v>
      </c>
      <c r="L788" s="3">
        <v>500.0</v>
      </c>
      <c r="M788" s="6">
        <v>1.0</v>
      </c>
      <c r="N788" s="7">
        <v>2500.0</v>
      </c>
      <c r="O788" s="7">
        <f t="shared" si="68"/>
        <v>2500</v>
      </c>
    </row>
    <row r="789">
      <c r="A789" s="6">
        <v>2025.0</v>
      </c>
      <c r="B789" s="6" t="s">
        <v>178</v>
      </c>
      <c r="C789" s="1">
        <f t="shared" si="1"/>
        <v>12</v>
      </c>
      <c r="D789" s="2" t="s">
        <v>16</v>
      </c>
      <c r="E789" s="6">
        <f t="shared" si="2"/>
        <v>1</v>
      </c>
      <c r="F789" s="6" t="s">
        <v>30</v>
      </c>
      <c r="G789" s="6" t="s">
        <v>18</v>
      </c>
      <c r="H789" s="6" t="s">
        <v>52</v>
      </c>
      <c r="I789" s="6" t="s">
        <v>54</v>
      </c>
      <c r="K789" s="3" t="b">
        <f t="shared" si="3"/>
        <v>0</v>
      </c>
      <c r="L789" s="3">
        <v>500.0</v>
      </c>
      <c r="M789" s="6">
        <v>1.0</v>
      </c>
      <c r="N789" s="7">
        <v>3990.0</v>
      </c>
      <c r="O789" s="7">
        <f t="shared" si="68"/>
        <v>3990</v>
      </c>
    </row>
    <row r="790">
      <c r="A790" s="6">
        <v>2025.0</v>
      </c>
      <c r="B790" s="6" t="s">
        <v>178</v>
      </c>
      <c r="C790" s="1">
        <f t="shared" si="1"/>
        <v>12</v>
      </c>
      <c r="D790" s="2" t="s">
        <v>16</v>
      </c>
      <c r="E790" s="6">
        <f t="shared" si="2"/>
        <v>1</v>
      </c>
      <c r="F790" s="6" t="s">
        <v>30</v>
      </c>
      <c r="G790" s="6" t="s">
        <v>83</v>
      </c>
      <c r="H790" s="6" t="s">
        <v>80</v>
      </c>
      <c r="I790" s="6" t="s">
        <v>186</v>
      </c>
      <c r="K790" s="3" t="b">
        <f t="shared" si="3"/>
        <v>0</v>
      </c>
      <c r="L790" s="8"/>
      <c r="M790" s="6">
        <v>2.0</v>
      </c>
      <c r="N790" s="7">
        <v>3150.0</v>
      </c>
      <c r="O790" s="7">
        <f t="shared" si="68"/>
        <v>6300</v>
      </c>
    </row>
    <row r="791">
      <c r="A791" s="6">
        <v>2025.0</v>
      </c>
      <c r="B791" s="6" t="s">
        <v>178</v>
      </c>
      <c r="C791" s="1">
        <f t="shared" si="1"/>
        <v>12</v>
      </c>
      <c r="D791" s="2" t="s">
        <v>16</v>
      </c>
      <c r="E791" s="6">
        <f t="shared" si="2"/>
        <v>1</v>
      </c>
      <c r="F791" s="6" t="s">
        <v>30</v>
      </c>
      <c r="G791" s="6" t="s">
        <v>18</v>
      </c>
      <c r="H791" s="6" t="s">
        <v>37</v>
      </c>
      <c r="I791" s="6" t="s">
        <v>187</v>
      </c>
      <c r="K791" s="3" t="b">
        <f t="shared" si="3"/>
        <v>0</v>
      </c>
      <c r="L791" s="8"/>
      <c r="M791" s="6">
        <v>2.0</v>
      </c>
      <c r="N791" s="7">
        <v>8900.0</v>
      </c>
      <c r="O791" s="7">
        <f t="shared" si="68"/>
        <v>17800</v>
      </c>
    </row>
    <row r="792">
      <c r="A792" s="6">
        <v>2025.0</v>
      </c>
      <c r="B792" s="6" t="s">
        <v>178</v>
      </c>
      <c r="C792" s="1">
        <f t="shared" si="1"/>
        <v>12</v>
      </c>
      <c r="D792" s="2" t="s">
        <v>65</v>
      </c>
      <c r="E792" s="6">
        <f t="shared" si="2"/>
        <v>2</v>
      </c>
      <c r="F792" s="6" t="s">
        <v>30</v>
      </c>
      <c r="G792" s="6" t="s">
        <v>18</v>
      </c>
      <c r="H792" s="6" t="s">
        <v>19</v>
      </c>
      <c r="I792" s="6" t="s">
        <v>144</v>
      </c>
      <c r="K792" s="3" t="b">
        <f t="shared" si="3"/>
        <v>0</v>
      </c>
      <c r="L792" s="3">
        <v>1000.0</v>
      </c>
      <c r="M792" s="6">
        <v>1.0</v>
      </c>
      <c r="N792" s="7">
        <v>25990.0</v>
      </c>
      <c r="O792" s="7">
        <f t="shared" si="68"/>
        <v>25990</v>
      </c>
    </row>
    <row r="793">
      <c r="A793" s="6">
        <v>2025.0</v>
      </c>
      <c r="B793" s="6" t="s">
        <v>178</v>
      </c>
      <c r="C793" s="1">
        <f t="shared" si="1"/>
        <v>12</v>
      </c>
      <c r="D793" s="2" t="s">
        <v>65</v>
      </c>
      <c r="E793" s="6">
        <f t="shared" si="2"/>
        <v>2</v>
      </c>
      <c r="F793" s="6" t="s">
        <v>30</v>
      </c>
      <c r="G793" s="6" t="s">
        <v>18</v>
      </c>
      <c r="H793" s="6" t="s">
        <v>52</v>
      </c>
      <c r="I793" s="6" t="s">
        <v>130</v>
      </c>
      <c r="K793" s="3" t="b">
        <f t="shared" si="3"/>
        <v>0</v>
      </c>
      <c r="L793" s="3">
        <v>500.0</v>
      </c>
      <c r="M793" s="6">
        <v>1.0</v>
      </c>
      <c r="N793" s="7">
        <v>2680.0</v>
      </c>
      <c r="O793" s="7">
        <f t="shared" si="68"/>
        <v>2680</v>
      </c>
    </row>
    <row r="794">
      <c r="A794" s="6">
        <v>2025.0</v>
      </c>
      <c r="B794" s="6" t="s">
        <v>178</v>
      </c>
      <c r="C794" s="1">
        <f t="shared" si="1"/>
        <v>12</v>
      </c>
      <c r="D794" s="2" t="s">
        <v>65</v>
      </c>
      <c r="E794" s="6">
        <f t="shared" si="2"/>
        <v>2</v>
      </c>
      <c r="F794" s="6" t="s">
        <v>30</v>
      </c>
      <c r="G794" s="6" t="s">
        <v>18</v>
      </c>
      <c r="H794" s="6" t="s">
        <v>52</v>
      </c>
      <c r="I794" s="6" t="s">
        <v>54</v>
      </c>
      <c r="K794" s="3" t="b">
        <f t="shared" si="3"/>
        <v>0</v>
      </c>
      <c r="L794" s="3">
        <v>500.0</v>
      </c>
      <c r="M794" s="6">
        <v>1.0</v>
      </c>
      <c r="N794" s="7">
        <v>3990.0</v>
      </c>
      <c r="O794" s="7">
        <f t="shared" si="68"/>
        <v>3990</v>
      </c>
    </row>
    <row r="795">
      <c r="A795" s="6">
        <v>2025.0</v>
      </c>
      <c r="B795" s="6" t="s">
        <v>178</v>
      </c>
      <c r="C795" s="1">
        <f t="shared" si="1"/>
        <v>12</v>
      </c>
      <c r="D795" s="2" t="s">
        <v>65</v>
      </c>
      <c r="E795" s="6">
        <f t="shared" si="2"/>
        <v>2</v>
      </c>
      <c r="F795" s="6" t="s">
        <v>30</v>
      </c>
      <c r="G795" s="6" t="s">
        <v>18</v>
      </c>
      <c r="H795" s="6" t="s">
        <v>27</v>
      </c>
      <c r="I795" s="6" t="s">
        <v>188</v>
      </c>
      <c r="K795" s="3" t="b">
        <f t="shared" si="3"/>
        <v>0</v>
      </c>
      <c r="L795" s="3">
        <v>2500.0</v>
      </c>
      <c r="M795" s="6">
        <v>1.0</v>
      </c>
      <c r="N795" s="7">
        <v>8990.0</v>
      </c>
      <c r="O795" s="7">
        <f t="shared" si="68"/>
        <v>8990</v>
      </c>
    </row>
    <row r="796">
      <c r="A796" s="6">
        <v>2025.0</v>
      </c>
      <c r="B796" s="6" t="s">
        <v>178</v>
      </c>
      <c r="C796" s="1">
        <f t="shared" si="1"/>
        <v>12</v>
      </c>
      <c r="D796" s="2" t="s">
        <v>65</v>
      </c>
      <c r="E796" s="6">
        <f t="shared" si="2"/>
        <v>2</v>
      </c>
      <c r="F796" s="6" t="s">
        <v>30</v>
      </c>
      <c r="G796" s="6" t="s">
        <v>18</v>
      </c>
      <c r="H796" s="6" t="s">
        <v>31</v>
      </c>
      <c r="I796" s="6" t="s">
        <v>32</v>
      </c>
      <c r="K796" s="3" t="b">
        <f t="shared" si="3"/>
        <v>0</v>
      </c>
      <c r="L796" s="3">
        <v>3000.0</v>
      </c>
      <c r="M796" s="6">
        <v>1.0</v>
      </c>
      <c r="N796" s="7">
        <v>22750.0</v>
      </c>
      <c r="O796" s="7">
        <f t="shared" si="68"/>
        <v>22750</v>
      </c>
    </row>
    <row r="797">
      <c r="A797" s="6">
        <v>2025.0</v>
      </c>
      <c r="B797" s="6" t="s">
        <v>178</v>
      </c>
      <c r="C797" s="1">
        <f t="shared" si="1"/>
        <v>12</v>
      </c>
      <c r="D797" s="2" t="s">
        <v>65</v>
      </c>
      <c r="E797" s="6">
        <f t="shared" si="2"/>
        <v>2</v>
      </c>
      <c r="F797" s="6" t="s">
        <v>30</v>
      </c>
      <c r="G797" s="6" t="s">
        <v>18</v>
      </c>
      <c r="H797" s="6" t="s">
        <v>49</v>
      </c>
      <c r="I797" s="6" t="s">
        <v>50</v>
      </c>
      <c r="K797" s="3" t="b">
        <f t="shared" si="3"/>
        <v>0</v>
      </c>
      <c r="L797" s="3">
        <v>3948.0</v>
      </c>
      <c r="N797" s="7">
        <v>2380.0</v>
      </c>
      <c r="O797" s="7">
        <f>N797*L797/1000</f>
        <v>9396.24</v>
      </c>
    </row>
    <row r="798">
      <c r="A798" s="6">
        <v>2025.0</v>
      </c>
      <c r="B798" s="6" t="s">
        <v>178</v>
      </c>
      <c r="C798" s="1">
        <f t="shared" si="1"/>
        <v>12</v>
      </c>
      <c r="D798" s="2" t="s">
        <v>65</v>
      </c>
      <c r="E798" s="6">
        <f t="shared" si="2"/>
        <v>2</v>
      </c>
      <c r="F798" s="6" t="s">
        <v>30</v>
      </c>
      <c r="G798" s="6" t="s">
        <v>18</v>
      </c>
      <c r="H798" s="6" t="s">
        <v>37</v>
      </c>
      <c r="I798" s="6" t="s">
        <v>38</v>
      </c>
      <c r="K798" s="3" t="b">
        <f t="shared" si="3"/>
        <v>0</v>
      </c>
      <c r="L798" s="3">
        <v>160.0</v>
      </c>
      <c r="M798" s="6">
        <v>2.0</v>
      </c>
      <c r="N798" s="7">
        <v>5990.0</v>
      </c>
      <c r="O798" s="7">
        <f>N798*M798</f>
        <v>11980</v>
      </c>
    </row>
    <row r="799">
      <c r="A799" s="6">
        <v>2025.0</v>
      </c>
      <c r="B799" s="6" t="s">
        <v>178</v>
      </c>
      <c r="C799" s="1">
        <f t="shared" si="1"/>
        <v>12</v>
      </c>
      <c r="D799" s="2" t="s">
        <v>65</v>
      </c>
      <c r="E799" s="6">
        <f t="shared" si="2"/>
        <v>2</v>
      </c>
      <c r="F799" s="6" t="s">
        <v>30</v>
      </c>
      <c r="G799" s="6" t="s">
        <v>18</v>
      </c>
      <c r="H799" s="6" t="s">
        <v>49</v>
      </c>
      <c r="I799" s="6" t="s">
        <v>64</v>
      </c>
      <c r="K799" s="3" t="b">
        <f t="shared" si="3"/>
        <v>0</v>
      </c>
      <c r="L799" s="3">
        <v>1206.0</v>
      </c>
      <c r="N799" s="7">
        <v>2580.0</v>
      </c>
      <c r="O799" s="7">
        <f t="shared" ref="O799:O813" si="69">N799*L799/1000</f>
        <v>3111.48</v>
      </c>
    </row>
    <row r="800">
      <c r="A800" s="6">
        <v>2025.0</v>
      </c>
      <c r="B800" s="6" t="s">
        <v>178</v>
      </c>
      <c r="C800" s="1">
        <f t="shared" si="1"/>
        <v>12</v>
      </c>
      <c r="D800" s="2" t="s">
        <v>65</v>
      </c>
      <c r="E800" s="6">
        <f t="shared" si="2"/>
        <v>2</v>
      </c>
      <c r="F800" s="6" t="s">
        <v>30</v>
      </c>
      <c r="G800" s="14" t="s">
        <v>18</v>
      </c>
      <c r="H800" s="6" t="s">
        <v>19</v>
      </c>
      <c r="I800" s="6" t="s">
        <v>183</v>
      </c>
      <c r="K800" s="3" t="b">
        <f t="shared" si="3"/>
        <v>0</v>
      </c>
      <c r="L800" s="3">
        <v>598.0</v>
      </c>
      <c r="N800" s="7">
        <v>17980.0</v>
      </c>
      <c r="O800" s="7">
        <f t="shared" si="69"/>
        <v>10752.04</v>
      </c>
    </row>
    <row r="801">
      <c r="A801" s="6">
        <v>2025.0</v>
      </c>
      <c r="B801" s="6" t="s">
        <v>178</v>
      </c>
      <c r="C801" s="1">
        <f t="shared" si="1"/>
        <v>12</v>
      </c>
      <c r="D801" s="2" t="s">
        <v>65</v>
      </c>
      <c r="E801" s="6">
        <f t="shared" si="2"/>
        <v>2</v>
      </c>
      <c r="F801" s="6" t="s">
        <v>30</v>
      </c>
      <c r="G801" s="6" t="s">
        <v>18</v>
      </c>
      <c r="H801" s="6" t="s">
        <v>49</v>
      </c>
      <c r="I801" s="6" t="s">
        <v>153</v>
      </c>
      <c r="K801" s="3" t="b">
        <f t="shared" si="3"/>
        <v>0</v>
      </c>
      <c r="L801" s="3">
        <v>486.0</v>
      </c>
      <c r="N801" s="7">
        <v>2100.0</v>
      </c>
      <c r="O801" s="7">
        <f t="shared" si="69"/>
        <v>1020.6</v>
      </c>
    </row>
    <row r="802">
      <c r="A802" s="6">
        <v>2025.0</v>
      </c>
      <c r="B802" s="6" t="s">
        <v>178</v>
      </c>
      <c r="C802" s="1">
        <f t="shared" si="1"/>
        <v>12</v>
      </c>
      <c r="D802" s="2" t="s">
        <v>65</v>
      </c>
      <c r="E802" s="6">
        <f t="shared" si="2"/>
        <v>2</v>
      </c>
      <c r="F802" s="6" t="s">
        <v>30</v>
      </c>
      <c r="G802" s="6" t="s">
        <v>18</v>
      </c>
      <c r="H802" s="6" t="s">
        <v>49</v>
      </c>
      <c r="I802" s="6" t="s">
        <v>63</v>
      </c>
      <c r="K802" s="3" t="b">
        <f t="shared" si="3"/>
        <v>0</v>
      </c>
      <c r="L802" s="3">
        <v>1384.0</v>
      </c>
      <c r="N802" s="7">
        <v>1980.0</v>
      </c>
      <c r="O802" s="7">
        <f t="shared" si="69"/>
        <v>2740.32</v>
      </c>
    </row>
    <row r="803">
      <c r="A803" s="6">
        <v>2025.0</v>
      </c>
      <c r="B803" s="6" t="s">
        <v>178</v>
      </c>
      <c r="C803" s="1">
        <f t="shared" si="1"/>
        <v>12</v>
      </c>
      <c r="D803" s="2" t="s">
        <v>65</v>
      </c>
      <c r="E803" s="6">
        <f t="shared" si="2"/>
        <v>2</v>
      </c>
      <c r="F803" s="6" t="s">
        <v>30</v>
      </c>
      <c r="G803" s="6" t="s">
        <v>18</v>
      </c>
      <c r="H803" s="6" t="s">
        <v>33</v>
      </c>
      <c r="I803" s="6" t="s">
        <v>70</v>
      </c>
      <c r="K803" s="3" t="b">
        <f t="shared" si="3"/>
        <v>0</v>
      </c>
      <c r="L803" s="3">
        <v>1674.0</v>
      </c>
      <c r="N803" s="7">
        <v>2580.0</v>
      </c>
      <c r="O803" s="7">
        <f t="shared" si="69"/>
        <v>4318.92</v>
      </c>
    </row>
    <row r="804">
      <c r="A804" s="6">
        <v>2025.0</v>
      </c>
      <c r="B804" s="6" t="s">
        <v>178</v>
      </c>
      <c r="C804" s="1">
        <f t="shared" si="1"/>
        <v>12</v>
      </c>
      <c r="D804" s="2" t="s">
        <v>65</v>
      </c>
      <c r="E804" s="6">
        <f t="shared" si="2"/>
        <v>2</v>
      </c>
      <c r="F804" s="6" t="s">
        <v>30</v>
      </c>
      <c r="G804" s="6" t="s">
        <v>18</v>
      </c>
      <c r="H804" s="6" t="s">
        <v>37</v>
      </c>
      <c r="I804" s="6" t="s">
        <v>60</v>
      </c>
      <c r="K804" s="3" t="b">
        <f t="shared" si="3"/>
        <v>0</v>
      </c>
      <c r="L804" s="3">
        <v>4970.0</v>
      </c>
      <c r="N804" s="7">
        <v>7980.0</v>
      </c>
      <c r="O804" s="7">
        <f t="shared" si="69"/>
        <v>39660.6</v>
      </c>
    </row>
    <row r="805">
      <c r="A805" s="6">
        <v>2025.0</v>
      </c>
      <c r="B805" s="6" t="s">
        <v>178</v>
      </c>
      <c r="C805" s="1">
        <f t="shared" si="1"/>
        <v>12</v>
      </c>
      <c r="D805" s="2" t="s">
        <v>65</v>
      </c>
      <c r="E805" s="6">
        <f t="shared" si="2"/>
        <v>2</v>
      </c>
      <c r="F805" s="6" t="s">
        <v>30</v>
      </c>
      <c r="G805" s="6" t="s">
        <v>18</v>
      </c>
      <c r="H805" s="6" t="s">
        <v>37</v>
      </c>
      <c r="I805" s="6" t="s">
        <v>45</v>
      </c>
      <c r="K805" s="3" t="b">
        <f t="shared" si="3"/>
        <v>0</v>
      </c>
      <c r="L805" s="3">
        <v>760.0</v>
      </c>
      <c r="N805" s="7">
        <v>17980.0</v>
      </c>
      <c r="O805" s="7">
        <f t="shared" si="69"/>
        <v>13664.8</v>
      </c>
    </row>
    <row r="806">
      <c r="A806" s="6">
        <v>2025.0</v>
      </c>
      <c r="B806" s="6" t="s">
        <v>178</v>
      </c>
      <c r="C806" s="1">
        <f t="shared" si="1"/>
        <v>12</v>
      </c>
      <c r="D806" s="2" t="s">
        <v>65</v>
      </c>
      <c r="E806" s="6">
        <f t="shared" si="2"/>
        <v>2</v>
      </c>
      <c r="F806" s="6" t="s">
        <v>30</v>
      </c>
      <c r="G806" s="6" t="s">
        <v>18</v>
      </c>
      <c r="H806" s="6" t="s">
        <v>37</v>
      </c>
      <c r="I806" s="6" t="s">
        <v>68</v>
      </c>
      <c r="K806" s="3" t="b">
        <f t="shared" si="3"/>
        <v>0</v>
      </c>
      <c r="L806" s="3">
        <v>950.0</v>
      </c>
      <c r="N806" s="7">
        <v>26980.0</v>
      </c>
      <c r="O806" s="7">
        <f t="shared" si="69"/>
        <v>25631</v>
      </c>
    </row>
    <row r="807">
      <c r="A807" s="6">
        <v>2025.0</v>
      </c>
      <c r="B807" s="6" t="s">
        <v>178</v>
      </c>
      <c r="C807" s="1">
        <f t="shared" si="1"/>
        <v>12</v>
      </c>
      <c r="D807" s="2" t="s">
        <v>65</v>
      </c>
      <c r="E807" s="6">
        <f t="shared" si="2"/>
        <v>2</v>
      </c>
      <c r="F807" s="6" t="s">
        <v>30</v>
      </c>
      <c r="G807" s="6" t="s">
        <v>18</v>
      </c>
      <c r="H807" s="6" t="s">
        <v>37</v>
      </c>
      <c r="I807" s="6" t="s">
        <v>67</v>
      </c>
      <c r="K807" s="3" t="b">
        <f t="shared" si="3"/>
        <v>0</v>
      </c>
      <c r="L807" s="3">
        <v>1050.0</v>
      </c>
      <c r="N807" s="7">
        <v>17580.0</v>
      </c>
      <c r="O807" s="7">
        <f t="shared" si="69"/>
        <v>18459</v>
      </c>
    </row>
    <row r="808">
      <c r="A808" s="6">
        <v>2025.0</v>
      </c>
      <c r="B808" s="6" t="s">
        <v>178</v>
      </c>
      <c r="C808" s="1">
        <f t="shared" si="1"/>
        <v>12</v>
      </c>
      <c r="D808" s="2" t="s">
        <v>65</v>
      </c>
      <c r="E808" s="6">
        <f t="shared" si="2"/>
        <v>2</v>
      </c>
      <c r="F808" s="6" t="s">
        <v>30</v>
      </c>
      <c r="G808" s="6" t="s">
        <v>18</v>
      </c>
      <c r="H808" s="6" t="s">
        <v>37</v>
      </c>
      <c r="I808" s="6" t="s">
        <v>47</v>
      </c>
      <c r="K808" s="3" t="b">
        <f t="shared" si="3"/>
        <v>0</v>
      </c>
      <c r="L808" s="3">
        <v>1270.0</v>
      </c>
      <c r="N808" s="7">
        <v>34980.0</v>
      </c>
      <c r="O808" s="7">
        <f t="shared" si="69"/>
        <v>44424.6</v>
      </c>
    </row>
    <row r="809">
      <c r="A809" s="6">
        <v>2025.0</v>
      </c>
      <c r="B809" s="6" t="s">
        <v>178</v>
      </c>
      <c r="C809" s="1">
        <f t="shared" si="1"/>
        <v>12</v>
      </c>
      <c r="D809" s="2" t="s">
        <v>65</v>
      </c>
      <c r="E809" s="6">
        <f t="shared" si="2"/>
        <v>2</v>
      </c>
      <c r="F809" s="6" t="s">
        <v>30</v>
      </c>
      <c r="G809" s="6" t="s">
        <v>18</v>
      </c>
      <c r="H809" s="6" t="s">
        <v>37</v>
      </c>
      <c r="I809" s="6" t="s">
        <v>48</v>
      </c>
      <c r="K809" s="3" t="b">
        <f t="shared" si="3"/>
        <v>0</v>
      </c>
      <c r="L809" s="3">
        <v>530.0</v>
      </c>
      <c r="N809" s="7">
        <v>18980.0</v>
      </c>
      <c r="O809" s="7">
        <f t="shared" si="69"/>
        <v>10059.4</v>
      </c>
    </row>
    <row r="810">
      <c r="A810" s="6">
        <v>2025.0</v>
      </c>
      <c r="B810" s="6" t="s">
        <v>178</v>
      </c>
      <c r="C810" s="1">
        <f t="shared" si="1"/>
        <v>12</v>
      </c>
      <c r="D810" s="2" t="s">
        <v>65</v>
      </c>
      <c r="E810" s="6">
        <f t="shared" si="2"/>
        <v>2</v>
      </c>
      <c r="F810" s="6" t="s">
        <v>30</v>
      </c>
      <c r="G810" s="6" t="s">
        <v>18</v>
      </c>
      <c r="H810" s="6" t="s">
        <v>49</v>
      </c>
      <c r="I810" s="6" t="s">
        <v>62</v>
      </c>
      <c r="K810" s="3" t="b">
        <f t="shared" si="3"/>
        <v>0</v>
      </c>
      <c r="L810" s="3">
        <v>3714.0</v>
      </c>
      <c r="N810" s="7">
        <v>3980.0</v>
      </c>
      <c r="O810" s="7">
        <f t="shared" si="69"/>
        <v>14781.72</v>
      </c>
    </row>
    <row r="811">
      <c r="A811" s="6">
        <v>2025.0</v>
      </c>
      <c r="B811" s="6" t="s">
        <v>178</v>
      </c>
      <c r="C811" s="1">
        <f t="shared" si="1"/>
        <v>12</v>
      </c>
      <c r="D811" s="2" t="s">
        <v>65</v>
      </c>
      <c r="E811" s="6">
        <f t="shared" si="2"/>
        <v>2</v>
      </c>
      <c r="F811" s="6" t="s">
        <v>30</v>
      </c>
      <c r="G811" s="6" t="s">
        <v>18</v>
      </c>
      <c r="H811" s="6" t="s">
        <v>49</v>
      </c>
      <c r="I811" s="6" t="s">
        <v>58</v>
      </c>
      <c r="K811" s="3" t="b">
        <f t="shared" si="3"/>
        <v>0</v>
      </c>
      <c r="L811" s="3">
        <v>1112.0</v>
      </c>
      <c r="N811" s="7">
        <v>4900.0</v>
      </c>
      <c r="O811" s="7">
        <f t="shared" si="69"/>
        <v>5448.8</v>
      </c>
    </row>
    <row r="812">
      <c r="A812" s="6">
        <v>2025.0</v>
      </c>
      <c r="B812" s="6" t="s">
        <v>178</v>
      </c>
      <c r="C812" s="1">
        <f t="shared" si="1"/>
        <v>12</v>
      </c>
      <c r="D812" s="2" t="s">
        <v>65</v>
      </c>
      <c r="E812" s="6">
        <f t="shared" si="2"/>
        <v>2</v>
      </c>
      <c r="F812" s="6" t="s">
        <v>30</v>
      </c>
      <c r="G812" s="6" t="s">
        <v>18</v>
      </c>
      <c r="H812" s="6" t="s">
        <v>33</v>
      </c>
      <c r="I812" s="6" t="s">
        <v>149</v>
      </c>
      <c r="K812" s="3" t="b">
        <f t="shared" si="3"/>
        <v>0</v>
      </c>
      <c r="L812" s="3">
        <v>568.0</v>
      </c>
      <c r="N812" s="7">
        <v>3780.0</v>
      </c>
      <c r="O812" s="7">
        <f t="shared" si="69"/>
        <v>2147.04</v>
      </c>
    </row>
    <row r="813">
      <c r="A813" s="6">
        <v>2025.0</v>
      </c>
      <c r="B813" s="6" t="s">
        <v>178</v>
      </c>
      <c r="C813" s="1">
        <f t="shared" si="1"/>
        <v>12</v>
      </c>
      <c r="D813" s="2" t="s">
        <v>65</v>
      </c>
      <c r="E813" s="6">
        <f t="shared" si="2"/>
        <v>2</v>
      </c>
      <c r="F813" s="6" t="s">
        <v>30</v>
      </c>
      <c r="G813" s="6" t="s">
        <v>18</v>
      </c>
      <c r="H813" s="6" t="s">
        <v>49</v>
      </c>
      <c r="I813" s="6" t="s">
        <v>57</v>
      </c>
      <c r="K813" s="3" t="b">
        <f t="shared" si="3"/>
        <v>0</v>
      </c>
      <c r="L813" s="3">
        <v>1960.0</v>
      </c>
      <c r="N813" s="7">
        <v>2580.0</v>
      </c>
      <c r="O813" s="7">
        <f t="shared" si="69"/>
        <v>5056.8</v>
      </c>
    </row>
    <row r="814">
      <c r="A814" s="6">
        <v>2025.0</v>
      </c>
      <c r="B814" s="6" t="s">
        <v>178</v>
      </c>
      <c r="C814" s="1">
        <f t="shared" si="1"/>
        <v>12</v>
      </c>
      <c r="D814" s="2" t="s">
        <v>65</v>
      </c>
      <c r="E814" s="6">
        <f t="shared" si="2"/>
        <v>2</v>
      </c>
      <c r="F814" s="6" t="s">
        <v>30</v>
      </c>
      <c r="G814" s="6" t="s">
        <v>18</v>
      </c>
      <c r="H814" s="6" t="s">
        <v>27</v>
      </c>
      <c r="I814" s="6" t="s">
        <v>164</v>
      </c>
      <c r="K814" s="3" t="b">
        <f t="shared" si="3"/>
        <v>0</v>
      </c>
      <c r="L814" s="3">
        <v>28.0</v>
      </c>
      <c r="M814" s="6">
        <v>1.0</v>
      </c>
      <c r="N814" s="7">
        <v>1550.0</v>
      </c>
      <c r="O814" s="7">
        <f t="shared" ref="O814:O816" si="70">N814*M814</f>
        <v>1550</v>
      </c>
    </row>
    <row r="815">
      <c r="A815" s="6">
        <v>2025.0</v>
      </c>
      <c r="B815" s="6" t="s">
        <v>178</v>
      </c>
      <c r="C815" s="1">
        <f t="shared" si="1"/>
        <v>12</v>
      </c>
      <c r="D815" s="2" t="s">
        <v>65</v>
      </c>
      <c r="E815" s="6">
        <f t="shared" si="2"/>
        <v>2</v>
      </c>
      <c r="F815" s="6" t="s">
        <v>30</v>
      </c>
      <c r="G815" s="6" t="s">
        <v>18</v>
      </c>
      <c r="H815" s="6" t="s">
        <v>27</v>
      </c>
      <c r="I815" s="6" t="s">
        <v>112</v>
      </c>
      <c r="K815" s="3" t="b">
        <f t="shared" si="3"/>
        <v>0</v>
      </c>
      <c r="L815" s="3">
        <v>55.0</v>
      </c>
      <c r="M815" s="6">
        <v>1.0</v>
      </c>
      <c r="N815" s="7">
        <v>1990.0</v>
      </c>
      <c r="O815" s="7">
        <f t="shared" si="70"/>
        <v>1990</v>
      </c>
    </row>
    <row r="816">
      <c r="A816" s="6">
        <v>2025.0</v>
      </c>
      <c r="B816" s="6" t="s">
        <v>178</v>
      </c>
      <c r="C816" s="1">
        <f t="shared" si="1"/>
        <v>12</v>
      </c>
      <c r="D816" s="2" t="s">
        <v>65</v>
      </c>
      <c r="E816" s="6">
        <f t="shared" si="2"/>
        <v>2</v>
      </c>
      <c r="F816" s="6" t="s">
        <v>30</v>
      </c>
      <c r="G816" s="6" t="s">
        <v>18</v>
      </c>
      <c r="H816" s="6" t="s">
        <v>92</v>
      </c>
      <c r="I816" s="6" t="s">
        <v>122</v>
      </c>
      <c r="K816" s="3" t="b">
        <f t="shared" si="3"/>
        <v>0</v>
      </c>
      <c r="L816" s="3">
        <v>500.0</v>
      </c>
      <c r="M816" s="6">
        <v>2.0</v>
      </c>
      <c r="N816" s="7">
        <v>1500.0</v>
      </c>
      <c r="O816" s="7">
        <f t="shared" si="70"/>
        <v>3000</v>
      </c>
    </row>
    <row r="817">
      <c r="A817" s="6">
        <v>2025.0</v>
      </c>
      <c r="B817" s="6" t="s">
        <v>178</v>
      </c>
      <c r="C817" s="1">
        <f t="shared" si="1"/>
        <v>12</v>
      </c>
      <c r="D817" s="2" t="s">
        <v>65</v>
      </c>
      <c r="E817" s="6">
        <f t="shared" si="2"/>
        <v>2</v>
      </c>
      <c r="F817" s="6" t="s">
        <v>30</v>
      </c>
      <c r="G817" s="6" t="s">
        <v>18</v>
      </c>
      <c r="H817" s="6" t="s">
        <v>33</v>
      </c>
      <c r="I817" s="6" t="s">
        <v>59</v>
      </c>
      <c r="K817" s="3" t="b">
        <f t="shared" si="3"/>
        <v>0</v>
      </c>
      <c r="L817" s="3">
        <v>1256.0</v>
      </c>
      <c r="N817" s="7">
        <v>3580.0</v>
      </c>
      <c r="O817" s="7">
        <f t="shared" ref="O817:O819" si="71">N817*L817/1000</f>
        <v>4496.48</v>
      </c>
    </row>
    <row r="818">
      <c r="A818" s="6">
        <v>2025.0</v>
      </c>
      <c r="B818" s="6" t="s">
        <v>178</v>
      </c>
      <c r="C818" s="1">
        <f t="shared" si="1"/>
        <v>12</v>
      </c>
      <c r="D818" s="2" t="s">
        <v>65</v>
      </c>
      <c r="E818" s="6">
        <f t="shared" si="2"/>
        <v>2</v>
      </c>
      <c r="F818" s="6" t="s">
        <v>30</v>
      </c>
      <c r="G818" s="6" t="s">
        <v>18</v>
      </c>
      <c r="H818" s="6" t="s">
        <v>33</v>
      </c>
      <c r="I818" s="6" t="s">
        <v>150</v>
      </c>
      <c r="K818" s="3" t="b">
        <f t="shared" si="3"/>
        <v>0</v>
      </c>
      <c r="L818" s="3">
        <v>308.0</v>
      </c>
      <c r="N818" s="7">
        <v>3780.0</v>
      </c>
      <c r="O818" s="7">
        <f t="shared" si="71"/>
        <v>1164.24</v>
      </c>
    </row>
    <row r="819">
      <c r="A819" s="6">
        <v>2025.0</v>
      </c>
      <c r="B819" s="6" t="s">
        <v>178</v>
      </c>
      <c r="C819" s="1">
        <f t="shared" si="1"/>
        <v>12</v>
      </c>
      <c r="D819" s="2" t="s">
        <v>65</v>
      </c>
      <c r="E819" s="6">
        <f t="shared" si="2"/>
        <v>2</v>
      </c>
      <c r="F819" s="6" t="s">
        <v>30</v>
      </c>
      <c r="G819" s="6" t="s">
        <v>18</v>
      </c>
      <c r="H819" s="6" t="s">
        <v>49</v>
      </c>
      <c r="I819" s="6" t="s">
        <v>142</v>
      </c>
      <c r="K819" s="3" t="b">
        <f t="shared" si="3"/>
        <v>0</v>
      </c>
      <c r="L819" s="3">
        <v>298.0</v>
      </c>
      <c r="N819" s="7">
        <v>5500.0</v>
      </c>
      <c r="O819" s="7">
        <f t="shared" si="71"/>
        <v>1639</v>
      </c>
    </row>
    <row r="820">
      <c r="A820" s="6">
        <v>2025.0</v>
      </c>
      <c r="B820" s="6" t="s">
        <v>178</v>
      </c>
      <c r="C820" s="1">
        <f t="shared" si="1"/>
        <v>12</v>
      </c>
      <c r="D820" s="2" t="s">
        <v>65</v>
      </c>
      <c r="E820" s="6">
        <f t="shared" si="2"/>
        <v>2</v>
      </c>
      <c r="F820" s="6" t="s">
        <v>30</v>
      </c>
      <c r="G820" s="6" t="s">
        <v>18</v>
      </c>
      <c r="H820" s="6" t="s">
        <v>37</v>
      </c>
      <c r="I820" s="6" t="s">
        <v>187</v>
      </c>
      <c r="K820" s="3" t="b">
        <f t="shared" si="3"/>
        <v>0</v>
      </c>
      <c r="L820" s="8"/>
      <c r="M820" s="6">
        <v>2.0</v>
      </c>
      <c r="N820" s="7">
        <v>9900.0</v>
      </c>
      <c r="O820" s="7">
        <f>N820*M820</f>
        <v>19800</v>
      </c>
    </row>
  </sheetData>
  <autoFilter ref="$A$1:$O$820"/>
  <conditionalFormatting sqref="A1:O820">
    <cfRule type="cellIs" dxfId="0" priority="1" operator="equal">
      <formula>"TRUE"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8.75"/>
    <col hidden="1" min="2" max="2" width="12.63"/>
    <col customWidth="1" min="3" max="3" width="6.5"/>
    <col customWidth="1" min="4" max="4" width="6.63"/>
    <col customWidth="1" min="5" max="6" width="6.5"/>
    <col customWidth="1" min="7" max="7" width="6.63"/>
    <col customWidth="1" min="8" max="8" width="5.75"/>
    <col customWidth="1" min="9" max="9" width="6.63"/>
    <col hidden="1" min="10" max="12" width="12.63"/>
    <col customWidth="1" min="13" max="13" width="7.63"/>
  </cols>
  <sheetData>
    <row r="1"/>
    <row r="2" hidden="1"/>
    <row r="3"/>
    <row r="4"/>
    <row r="5"/>
    <row r="6"/>
    <row r="7"/>
    <row r="8"/>
    <row r="9"/>
    <row r="10"/>
    <row r="11"/>
    <row r="12"/>
    <row r="13"/>
    <row r="14"/>
    <row r="15"/>
    <row r="16"/>
    <row r="17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3.38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4.5"/>
    <col customWidth="1" min="2" max="2" width="13.88"/>
  </cols>
  <sheetData>
    <row r="1"/>
    <row r="2"/>
    <row r="3"/>
    <row r="4"/>
    <row r="5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hidden="1" min="1" max="1" width="12.63"/>
    <col customWidth="1" min="3" max="3" width="19.5"/>
    <col customWidth="1" min="4" max="4" width="16.75"/>
    <col customWidth="1" min="5" max="5" width="22.0"/>
    <col customWidth="1" min="6" max="6" width="16.25"/>
  </cols>
  <sheetData>
    <row r="1"/>
    <row r="2"/>
    <row r="3" hidden="1">
      <c r="H3" s="23" t="s">
        <v>191</v>
      </c>
    </row>
    <row r="4"/>
    <row r="5"/>
    <row r="6"/>
    <row r="7"/>
    <row r="8"/>
    <row r="9"/>
    <row r="10"/>
    <row r="11" hidden="1"/>
    <row r="12" hidden="1"/>
    <row r="13" hidden="1"/>
    <row r="14"/>
  </sheetData>
  <mergeCells count="1">
    <mergeCell ref="H3:K3"/>
  </mergeCell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hidden="1" min="1" max="1" width="12.63"/>
  </cols>
  <sheetData>
    <row r="1"/>
    <row r="2"/>
    <row r="3" hidden="1">
      <c r="F3" s="6"/>
      <c r="G3" s="23" t="s">
        <v>191</v>
      </c>
    </row>
    <row r="4"/>
    <row r="5"/>
    <row r="6"/>
    <row r="7"/>
    <row r="8"/>
    <row r="9"/>
    <row r="10"/>
    <row r="11" hidden="1"/>
    <row r="12" hidden="1"/>
    <row r="13" hidden="1"/>
    <row r="14"/>
  </sheetData>
  <mergeCells count="1">
    <mergeCell ref="G3:J3"/>
  </mergeCell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hidden="1" min="1" max="1" width="12.63"/>
  </cols>
  <sheetData>
    <row r="1"/>
    <row r="2" hidden="1">
      <c r="E2" s="23" t="s">
        <v>191</v>
      </c>
    </row>
    <row r="3"/>
    <row r="4"/>
    <row r="5"/>
    <row r="6"/>
    <row r="7"/>
    <row r="8"/>
    <row r="9"/>
    <row r="10" hidden="1"/>
    <row r="11" hidden="1"/>
    <row r="12" hidden="1"/>
    <row r="13"/>
  </sheetData>
  <mergeCells count="1">
    <mergeCell ref="E2:H2"/>
  </mergeCell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6.75"/>
    <col customWidth="1" min="3" max="3" width="11.13"/>
    <col customWidth="1" hidden="1" min="4" max="4" width="10.5"/>
    <col customWidth="1" hidden="1" min="5" max="5" width="12.13"/>
    <col customWidth="1" min="6" max="6" width="9.5"/>
    <col customWidth="1" min="7" max="7" width="17.13"/>
    <col customWidth="1" min="8" max="8" width="26.5"/>
    <col customWidth="1" min="9" max="9" width="9.38"/>
    <col customWidth="1" min="10" max="10" width="13.13"/>
    <col customWidth="1" hidden="1" min="11" max="11" width="12.88"/>
    <col customWidth="1" min="12" max="12" width="10.63"/>
    <col customWidth="1" min="13" max="13" width="8.63"/>
    <col customWidth="1" hidden="1" min="14" max="14" width="12.88"/>
    <col customWidth="1" min="15" max="15" width="8.0"/>
    <col customWidth="1" min="17" max="17" width="12.0"/>
    <col customWidth="1" min="18" max="18" width="14.0"/>
  </cols>
  <sheetData>
    <row r="1">
      <c r="A1" s="1" t="s">
        <v>192</v>
      </c>
      <c r="B1" s="1" t="s">
        <v>193</v>
      </c>
      <c r="C1" s="1" t="s">
        <v>194</v>
      </c>
      <c r="D1" s="1" t="s">
        <v>195</v>
      </c>
      <c r="E1" s="1" t="s">
        <v>196</v>
      </c>
      <c r="F1" s="1" t="s">
        <v>197</v>
      </c>
      <c r="G1" s="1" t="s">
        <v>198</v>
      </c>
      <c r="H1" s="1" t="s">
        <v>199</v>
      </c>
      <c r="I1" s="1" t="s">
        <v>200</v>
      </c>
      <c r="J1" s="1" t="s">
        <v>201</v>
      </c>
      <c r="K1" s="1" t="s">
        <v>196</v>
      </c>
      <c r="L1" s="1" t="s">
        <v>202</v>
      </c>
      <c r="M1" s="1" t="s">
        <v>203</v>
      </c>
      <c r="N1" s="1" t="s">
        <v>196</v>
      </c>
      <c r="O1" s="5" t="s">
        <v>204</v>
      </c>
    </row>
    <row r="2">
      <c r="A2" s="6">
        <v>2025.0</v>
      </c>
      <c r="B2" s="6" t="s">
        <v>15</v>
      </c>
      <c r="C2" s="1" t="s">
        <v>205</v>
      </c>
      <c r="F2" s="6" t="s">
        <v>206</v>
      </c>
      <c r="G2" s="6" t="s">
        <v>207</v>
      </c>
      <c r="H2" s="6" t="s">
        <v>208</v>
      </c>
      <c r="I2" s="6" t="s">
        <v>21</v>
      </c>
      <c r="J2" s="6">
        <v>650.0</v>
      </c>
      <c r="K2" s="6"/>
      <c r="L2" s="6">
        <v>1.0</v>
      </c>
      <c r="M2" s="6">
        <v>14500.0</v>
      </c>
      <c r="O2" s="7">
        <f t="shared" ref="O2:O5" si="1">M2*L2</f>
        <v>14500</v>
      </c>
    </row>
    <row r="3">
      <c r="A3" s="6">
        <v>2025.0</v>
      </c>
      <c r="B3" s="6" t="s">
        <v>209</v>
      </c>
      <c r="C3" s="1" t="s">
        <v>205</v>
      </c>
      <c r="D3" s="6"/>
      <c r="E3" s="6"/>
      <c r="F3" s="6" t="s">
        <v>206</v>
      </c>
      <c r="G3" s="6" t="s">
        <v>207</v>
      </c>
      <c r="H3" s="6" t="s">
        <v>210</v>
      </c>
      <c r="I3" s="6" t="s">
        <v>23</v>
      </c>
      <c r="J3" s="6">
        <v>900.0</v>
      </c>
      <c r="K3" s="6"/>
      <c r="L3" s="6">
        <v>5.0</v>
      </c>
      <c r="M3" s="6">
        <v>3400.0</v>
      </c>
      <c r="N3" s="6"/>
      <c r="O3" s="7">
        <f t="shared" si="1"/>
        <v>17000</v>
      </c>
    </row>
    <row r="4">
      <c r="A4" s="6">
        <v>2025.0</v>
      </c>
      <c r="B4" s="6" t="s">
        <v>209</v>
      </c>
      <c r="C4" s="1" t="s">
        <v>205</v>
      </c>
      <c r="F4" s="6" t="s">
        <v>206</v>
      </c>
      <c r="G4" s="6"/>
      <c r="H4" s="6" t="s">
        <v>211</v>
      </c>
      <c r="I4" s="6" t="s">
        <v>26</v>
      </c>
      <c r="J4" s="6">
        <v>150.0</v>
      </c>
      <c r="K4" s="6"/>
      <c r="L4" s="6">
        <v>1.0</v>
      </c>
      <c r="M4" s="6">
        <v>6490.0</v>
      </c>
      <c r="O4" s="7">
        <f t="shared" si="1"/>
        <v>6490</v>
      </c>
    </row>
    <row r="5">
      <c r="A5" s="6">
        <v>2025.0</v>
      </c>
      <c r="B5" s="6" t="s">
        <v>15</v>
      </c>
      <c r="C5" s="1" t="s">
        <v>205</v>
      </c>
      <c r="F5" s="6" t="s">
        <v>206</v>
      </c>
      <c r="G5" s="6"/>
      <c r="H5" s="6" t="s">
        <v>212</v>
      </c>
      <c r="I5" s="6" t="s">
        <v>29</v>
      </c>
      <c r="J5" s="6">
        <v>200.0</v>
      </c>
      <c r="K5" s="6"/>
      <c r="L5" s="6">
        <v>1.0</v>
      </c>
      <c r="M5" s="6">
        <v>3490.0</v>
      </c>
      <c r="O5" s="7">
        <f t="shared" si="1"/>
        <v>3490</v>
      </c>
    </row>
    <row r="6">
      <c r="A6" s="24" t="s">
        <v>204</v>
      </c>
      <c r="B6" s="24"/>
      <c r="C6" s="24"/>
      <c r="D6" s="24"/>
      <c r="E6" s="24"/>
      <c r="F6" s="25"/>
      <c r="G6" s="25"/>
      <c r="H6" s="25"/>
      <c r="I6" s="25"/>
      <c r="J6" s="25"/>
      <c r="K6" s="25"/>
      <c r="L6" s="25"/>
      <c r="M6" s="25"/>
      <c r="N6" s="25"/>
      <c r="O6" s="26">
        <f>SUM(O2:O5)</f>
        <v>41480</v>
      </c>
    </row>
    <row r="7">
      <c r="A7" s="6">
        <v>2025.0</v>
      </c>
      <c r="B7" s="6" t="s">
        <v>15</v>
      </c>
      <c r="C7" s="1" t="s">
        <v>205</v>
      </c>
      <c r="F7" s="6" t="s">
        <v>213</v>
      </c>
      <c r="G7" s="6" t="s">
        <v>214</v>
      </c>
      <c r="H7" s="6" t="s">
        <v>215</v>
      </c>
      <c r="I7" s="6" t="s">
        <v>213</v>
      </c>
      <c r="J7" s="6">
        <v>900.0</v>
      </c>
      <c r="K7" s="6"/>
      <c r="L7" s="6">
        <v>1.0</v>
      </c>
      <c r="M7" s="6">
        <v>7200.0</v>
      </c>
      <c r="O7" s="7">
        <f>M7*L7</f>
        <v>7200</v>
      </c>
    </row>
    <row r="8">
      <c r="A8" s="6">
        <v>2025.0</v>
      </c>
      <c r="B8" s="6" t="s">
        <v>15</v>
      </c>
      <c r="C8" s="1" t="s">
        <v>205</v>
      </c>
      <c r="F8" s="6" t="s">
        <v>213</v>
      </c>
      <c r="G8" s="6" t="s">
        <v>216</v>
      </c>
      <c r="H8" s="6" t="s">
        <v>217</v>
      </c>
      <c r="I8" s="6" t="s">
        <v>213</v>
      </c>
      <c r="J8" s="6">
        <v>1118.0</v>
      </c>
      <c r="K8" s="6"/>
      <c r="M8" s="6">
        <v>7980.0</v>
      </c>
      <c r="O8" s="7">
        <f t="shared" ref="O8:O9" si="2">M8*J8/1000</f>
        <v>8921.64</v>
      </c>
    </row>
    <row r="9">
      <c r="A9" s="6">
        <v>2025.0</v>
      </c>
      <c r="B9" s="6" t="s">
        <v>15</v>
      </c>
      <c r="C9" s="1" t="s">
        <v>205</v>
      </c>
      <c r="F9" s="6" t="s">
        <v>213</v>
      </c>
      <c r="G9" s="6" t="s">
        <v>218</v>
      </c>
      <c r="H9" s="6" t="s">
        <v>219</v>
      </c>
      <c r="I9" s="6" t="s">
        <v>213</v>
      </c>
      <c r="J9" s="6">
        <v>106.0</v>
      </c>
      <c r="K9" s="6"/>
      <c r="M9" s="6">
        <v>15000.0</v>
      </c>
      <c r="O9" s="7">
        <f t="shared" si="2"/>
        <v>1590</v>
      </c>
    </row>
    <row r="10">
      <c r="A10" s="6">
        <v>2025.0</v>
      </c>
      <c r="B10" s="6" t="s">
        <v>15</v>
      </c>
      <c r="C10" s="1" t="s">
        <v>205</v>
      </c>
      <c r="F10" s="6" t="s">
        <v>213</v>
      </c>
      <c r="G10" s="6" t="s">
        <v>220</v>
      </c>
      <c r="H10" s="6" t="s">
        <v>221</v>
      </c>
      <c r="I10" s="6" t="s">
        <v>39</v>
      </c>
      <c r="J10" s="6">
        <v>160.0</v>
      </c>
      <c r="K10" s="6"/>
      <c r="L10" s="6">
        <v>1.0</v>
      </c>
      <c r="M10" s="6">
        <v>4990.0</v>
      </c>
      <c r="O10" s="7">
        <f t="shared" ref="O10:O12" si="3">M10*L10</f>
        <v>4990</v>
      </c>
    </row>
    <row r="11">
      <c r="A11" s="6">
        <v>2025.0</v>
      </c>
      <c r="B11" s="6" t="s">
        <v>15</v>
      </c>
      <c r="C11" s="1" t="s">
        <v>205</v>
      </c>
      <c r="F11" s="6" t="s">
        <v>213</v>
      </c>
      <c r="G11" s="6"/>
      <c r="H11" s="6" t="s">
        <v>222</v>
      </c>
      <c r="I11" s="6" t="s">
        <v>41</v>
      </c>
      <c r="J11" s="6">
        <v>2500.0</v>
      </c>
      <c r="K11" s="6"/>
      <c r="L11" s="6">
        <v>1.0</v>
      </c>
      <c r="M11" s="6">
        <v>8900.0</v>
      </c>
      <c r="O11" s="7">
        <f t="shared" si="3"/>
        <v>8900</v>
      </c>
    </row>
    <row r="12">
      <c r="A12" s="6">
        <v>2025.0</v>
      </c>
      <c r="B12" s="6" t="s">
        <v>15</v>
      </c>
      <c r="C12" s="1" t="s">
        <v>205</v>
      </c>
      <c r="F12" s="6" t="s">
        <v>213</v>
      </c>
      <c r="G12" s="6" t="s">
        <v>223</v>
      </c>
      <c r="H12" s="6" t="s">
        <v>224</v>
      </c>
      <c r="I12" s="6" t="s">
        <v>43</v>
      </c>
      <c r="J12" s="6">
        <v>400.0</v>
      </c>
      <c r="K12" s="6"/>
      <c r="L12" s="6">
        <v>1.0</v>
      </c>
      <c r="M12" s="6">
        <v>15990.0</v>
      </c>
      <c r="O12" s="7">
        <f t="shared" si="3"/>
        <v>15990</v>
      </c>
    </row>
    <row r="13">
      <c r="A13" s="6">
        <v>2025.0</v>
      </c>
      <c r="B13" s="6" t="s">
        <v>15</v>
      </c>
      <c r="C13" s="1" t="s">
        <v>205</v>
      </c>
      <c r="F13" s="6" t="s">
        <v>213</v>
      </c>
      <c r="G13" s="6" t="s">
        <v>220</v>
      </c>
      <c r="H13" s="6" t="s">
        <v>225</v>
      </c>
      <c r="I13" s="6" t="s">
        <v>213</v>
      </c>
      <c r="J13" s="6">
        <v>1000.0</v>
      </c>
      <c r="K13" s="6"/>
      <c r="M13" s="6">
        <v>10980.0</v>
      </c>
      <c r="O13" s="7">
        <f t="shared" ref="O13:O20" si="4">M13*J13/1000</f>
        <v>10980</v>
      </c>
    </row>
    <row r="14">
      <c r="A14" s="6">
        <v>2025.0</v>
      </c>
      <c r="B14" s="6" t="s">
        <v>15</v>
      </c>
      <c r="C14" s="1" t="s">
        <v>205</v>
      </c>
      <c r="F14" s="6" t="s">
        <v>213</v>
      </c>
      <c r="G14" s="6" t="s">
        <v>220</v>
      </c>
      <c r="H14" s="6" t="s">
        <v>226</v>
      </c>
      <c r="I14" s="6" t="s">
        <v>213</v>
      </c>
      <c r="J14" s="6">
        <v>544.0</v>
      </c>
      <c r="K14" s="6"/>
      <c r="M14" s="6">
        <v>19400.0</v>
      </c>
      <c r="O14" s="7">
        <f t="shared" si="4"/>
        <v>10553.6</v>
      </c>
    </row>
    <row r="15">
      <c r="A15" s="6">
        <v>2025.0</v>
      </c>
      <c r="B15" s="6" t="s">
        <v>15</v>
      </c>
      <c r="C15" s="1" t="s">
        <v>205</v>
      </c>
      <c r="F15" s="6" t="s">
        <v>213</v>
      </c>
      <c r="G15" s="6" t="s">
        <v>220</v>
      </c>
      <c r="H15" s="6" t="s">
        <v>226</v>
      </c>
      <c r="I15" s="6" t="s">
        <v>213</v>
      </c>
      <c r="J15" s="6">
        <v>512.0</v>
      </c>
      <c r="K15" s="6"/>
      <c r="M15" s="6">
        <v>19400.0</v>
      </c>
      <c r="O15" s="7">
        <f t="shared" si="4"/>
        <v>9932.8</v>
      </c>
    </row>
    <row r="16">
      <c r="A16" s="6">
        <v>2025.0</v>
      </c>
      <c r="B16" s="6" t="s">
        <v>15</v>
      </c>
      <c r="C16" s="1" t="s">
        <v>205</v>
      </c>
      <c r="F16" s="6" t="s">
        <v>213</v>
      </c>
      <c r="G16" s="6" t="s">
        <v>220</v>
      </c>
      <c r="H16" s="6" t="s">
        <v>227</v>
      </c>
      <c r="I16" s="6" t="s">
        <v>213</v>
      </c>
      <c r="J16" s="6">
        <v>606.0</v>
      </c>
      <c r="K16" s="6"/>
      <c r="M16" s="6">
        <v>28580.0</v>
      </c>
      <c r="O16" s="7">
        <f t="shared" si="4"/>
        <v>17319.48</v>
      </c>
    </row>
    <row r="17">
      <c r="A17" s="6">
        <v>2025.0</v>
      </c>
      <c r="B17" s="6" t="s">
        <v>15</v>
      </c>
      <c r="C17" s="1" t="s">
        <v>205</v>
      </c>
      <c r="F17" s="6" t="s">
        <v>213</v>
      </c>
      <c r="G17" s="6" t="s">
        <v>220</v>
      </c>
      <c r="H17" s="6" t="s">
        <v>228</v>
      </c>
      <c r="I17" s="6" t="s">
        <v>213</v>
      </c>
      <c r="J17" s="6">
        <v>532.0</v>
      </c>
      <c r="K17" s="6"/>
      <c r="M17" s="6">
        <v>31980.0</v>
      </c>
      <c r="O17" s="7">
        <f t="shared" si="4"/>
        <v>17013.36</v>
      </c>
    </row>
    <row r="18">
      <c r="A18" s="6">
        <v>2025.0</v>
      </c>
      <c r="B18" s="6" t="s">
        <v>15</v>
      </c>
      <c r="C18" s="1" t="s">
        <v>205</v>
      </c>
      <c r="F18" s="6" t="s">
        <v>213</v>
      </c>
      <c r="G18" s="6" t="s">
        <v>220</v>
      </c>
      <c r="H18" s="6" t="s">
        <v>229</v>
      </c>
      <c r="I18" s="6" t="s">
        <v>213</v>
      </c>
      <c r="J18" s="6">
        <v>500.0</v>
      </c>
      <c r="K18" s="6"/>
      <c r="M18" s="6">
        <v>18580.0</v>
      </c>
      <c r="O18" s="7">
        <f t="shared" si="4"/>
        <v>9290</v>
      </c>
    </row>
    <row r="19">
      <c r="A19" s="6">
        <v>2025.0</v>
      </c>
      <c r="B19" s="6" t="s">
        <v>15</v>
      </c>
      <c r="C19" s="1" t="s">
        <v>205</v>
      </c>
      <c r="F19" s="6" t="s">
        <v>213</v>
      </c>
      <c r="G19" s="6" t="s">
        <v>218</v>
      </c>
      <c r="H19" s="6" t="s">
        <v>230</v>
      </c>
      <c r="I19" s="6" t="s">
        <v>213</v>
      </c>
      <c r="J19" s="6">
        <v>3440.0</v>
      </c>
      <c r="K19" s="6"/>
      <c r="M19" s="6">
        <v>2300.0</v>
      </c>
      <c r="O19" s="7">
        <f t="shared" si="4"/>
        <v>7912</v>
      </c>
    </row>
    <row r="20">
      <c r="A20" s="6">
        <v>2025.0</v>
      </c>
      <c r="B20" s="6" t="s">
        <v>15</v>
      </c>
      <c r="C20" s="1" t="s">
        <v>205</v>
      </c>
      <c r="F20" s="6" t="s">
        <v>213</v>
      </c>
      <c r="G20" s="6" t="s">
        <v>218</v>
      </c>
      <c r="H20" s="6" t="s">
        <v>231</v>
      </c>
      <c r="I20" s="6" t="s">
        <v>213</v>
      </c>
      <c r="J20" s="6">
        <v>382.0</v>
      </c>
      <c r="K20" s="6"/>
      <c r="M20" s="6">
        <v>6400.0</v>
      </c>
      <c r="O20" s="7">
        <f t="shared" si="4"/>
        <v>2444.8</v>
      </c>
    </row>
    <row r="21">
      <c r="A21" s="6">
        <v>2025.0</v>
      </c>
      <c r="B21" s="6" t="s">
        <v>15</v>
      </c>
      <c r="C21" s="1" t="s">
        <v>205</v>
      </c>
      <c r="F21" s="6" t="s">
        <v>213</v>
      </c>
      <c r="G21" s="6" t="s">
        <v>232</v>
      </c>
      <c r="H21" s="6" t="s">
        <v>233</v>
      </c>
      <c r="I21" s="6" t="s">
        <v>39</v>
      </c>
      <c r="J21" s="6">
        <v>500.0</v>
      </c>
      <c r="K21" s="6"/>
      <c r="L21" s="6">
        <v>1.0</v>
      </c>
      <c r="M21" s="6">
        <v>3550.0</v>
      </c>
      <c r="O21" s="7">
        <f t="shared" ref="O21:O23" si="5">M21*L21</f>
        <v>3550</v>
      </c>
    </row>
    <row r="22">
      <c r="A22" s="6">
        <v>2025.0</v>
      </c>
      <c r="B22" s="6" t="s">
        <v>15</v>
      </c>
      <c r="C22" s="1" t="s">
        <v>205</v>
      </c>
      <c r="F22" s="6" t="s">
        <v>213</v>
      </c>
      <c r="G22" s="6" t="s">
        <v>232</v>
      </c>
      <c r="H22" s="6" t="s">
        <v>234</v>
      </c>
      <c r="I22" s="6" t="s">
        <v>39</v>
      </c>
      <c r="J22" s="6">
        <v>500.0</v>
      </c>
      <c r="K22" s="6"/>
      <c r="L22" s="6">
        <v>1.0</v>
      </c>
      <c r="M22" s="6">
        <v>3990.0</v>
      </c>
      <c r="O22" s="7">
        <f t="shared" si="5"/>
        <v>3990</v>
      </c>
    </row>
    <row r="23">
      <c r="A23" s="6">
        <v>2025.0</v>
      </c>
      <c r="B23" s="6" t="s">
        <v>15</v>
      </c>
      <c r="C23" s="1" t="s">
        <v>205</v>
      </c>
      <c r="F23" s="6" t="s">
        <v>213</v>
      </c>
      <c r="G23" s="6" t="s">
        <v>232</v>
      </c>
      <c r="H23" s="6" t="s">
        <v>235</v>
      </c>
      <c r="I23" s="6" t="s">
        <v>39</v>
      </c>
      <c r="J23" s="6">
        <v>500.0</v>
      </c>
      <c r="K23" s="6"/>
      <c r="L23" s="6">
        <v>1.0</v>
      </c>
      <c r="M23" s="6">
        <v>3590.0</v>
      </c>
      <c r="O23" s="7">
        <f t="shared" si="5"/>
        <v>3590</v>
      </c>
    </row>
    <row r="24">
      <c r="A24" s="6">
        <v>2025.0</v>
      </c>
      <c r="B24" s="6" t="s">
        <v>15</v>
      </c>
      <c r="C24" s="1" t="s">
        <v>205</v>
      </c>
      <c r="F24" s="6" t="s">
        <v>213</v>
      </c>
      <c r="G24" s="6" t="s">
        <v>216</v>
      </c>
      <c r="H24" s="6" t="s">
        <v>236</v>
      </c>
      <c r="I24" s="6" t="s">
        <v>213</v>
      </c>
      <c r="J24" s="6">
        <v>874.0</v>
      </c>
      <c r="K24" s="6"/>
      <c r="M24" s="6">
        <v>3700.0</v>
      </c>
      <c r="O24" s="7">
        <f t="shared" ref="O24:O36" si="6">M24*J24/1000</f>
        <v>3233.8</v>
      </c>
    </row>
    <row r="25">
      <c r="A25" s="6">
        <v>2025.0</v>
      </c>
      <c r="B25" s="6" t="s">
        <v>15</v>
      </c>
      <c r="C25" s="1" t="s">
        <v>205</v>
      </c>
      <c r="F25" s="6" t="s">
        <v>213</v>
      </c>
      <c r="G25" s="6" t="s">
        <v>218</v>
      </c>
      <c r="H25" s="6" t="s">
        <v>237</v>
      </c>
      <c r="I25" s="6" t="s">
        <v>213</v>
      </c>
      <c r="J25" s="6">
        <v>886.0</v>
      </c>
      <c r="K25" s="6"/>
      <c r="M25" s="6">
        <v>2500.0</v>
      </c>
      <c r="O25" s="7">
        <f t="shared" si="6"/>
        <v>2215</v>
      </c>
    </row>
    <row r="26">
      <c r="A26" s="6">
        <v>2025.0</v>
      </c>
      <c r="B26" s="6" t="s">
        <v>15</v>
      </c>
      <c r="C26" s="1" t="s">
        <v>205</v>
      </c>
      <c r="F26" s="6" t="s">
        <v>213</v>
      </c>
      <c r="G26" s="6" t="s">
        <v>218</v>
      </c>
      <c r="H26" s="6" t="s">
        <v>237</v>
      </c>
      <c r="I26" s="6" t="s">
        <v>213</v>
      </c>
      <c r="J26" s="6">
        <v>950.0</v>
      </c>
      <c r="K26" s="6"/>
      <c r="M26" s="6">
        <v>2500.0</v>
      </c>
      <c r="O26" s="7">
        <f t="shared" si="6"/>
        <v>2375</v>
      </c>
    </row>
    <row r="27">
      <c r="A27" s="6">
        <v>2025.0</v>
      </c>
      <c r="B27" s="6" t="s">
        <v>15</v>
      </c>
      <c r="C27" s="1" t="s">
        <v>205</v>
      </c>
      <c r="F27" s="6" t="s">
        <v>213</v>
      </c>
      <c r="G27" s="6" t="s">
        <v>218</v>
      </c>
      <c r="H27" s="6" t="s">
        <v>238</v>
      </c>
      <c r="I27" s="6" t="s">
        <v>213</v>
      </c>
      <c r="J27" s="6">
        <v>570.0</v>
      </c>
      <c r="K27" s="6"/>
      <c r="M27" s="6">
        <v>6300.0</v>
      </c>
      <c r="O27" s="7">
        <f t="shared" si="6"/>
        <v>3591</v>
      </c>
    </row>
    <row r="28">
      <c r="A28" s="6">
        <v>2025.0</v>
      </c>
      <c r="B28" s="6" t="s">
        <v>15</v>
      </c>
      <c r="C28" s="1" t="s">
        <v>205</v>
      </c>
      <c r="F28" s="6" t="s">
        <v>213</v>
      </c>
      <c r="G28" s="6" t="s">
        <v>218</v>
      </c>
      <c r="H28" s="6" t="s">
        <v>238</v>
      </c>
      <c r="I28" s="6" t="s">
        <v>213</v>
      </c>
      <c r="J28" s="6">
        <v>638.0</v>
      </c>
      <c r="K28" s="6"/>
      <c r="M28" s="6">
        <v>6300.0</v>
      </c>
      <c r="O28" s="7">
        <f t="shared" si="6"/>
        <v>4019.4</v>
      </c>
    </row>
    <row r="29">
      <c r="A29" s="6">
        <v>2025.0</v>
      </c>
      <c r="B29" s="6" t="s">
        <v>15</v>
      </c>
      <c r="C29" s="1" t="s">
        <v>205</v>
      </c>
      <c r="F29" s="6" t="s">
        <v>213</v>
      </c>
      <c r="G29" s="6" t="s">
        <v>218</v>
      </c>
      <c r="H29" s="6" t="s">
        <v>239</v>
      </c>
      <c r="I29" s="6" t="s">
        <v>213</v>
      </c>
      <c r="J29" s="6">
        <v>1092.0</v>
      </c>
      <c r="K29" s="6"/>
      <c r="M29" s="6">
        <v>2300.0</v>
      </c>
      <c r="O29" s="7">
        <f t="shared" si="6"/>
        <v>2511.6</v>
      </c>
    </row>
    <row r="30">
      <c r="A30" s="6">
        <v>2025.0</v>
      </c>
      <c r="B30" s="6" t="s">
        <v>15</v>
      </c>
      <c r="C30" s="1" t="s">
        <v>205</v>
      </c>
      <c r="F30" s="6" t="s">
        <v>213</v>
      </c>
      <c r="G30" s="6" t="s">
        <v>220</v>
      </c>
      <c r="H30" s="6" t="s">
        <v>240</v>
      </c>
      <c r="I30" s="6" t="s">
        <v>213</v>
      </c>
      <c r="J30" s="6">
        <v>3380.0</v>
      </c>
      <c r="K30" s="6"/>
      <c r="M30" s="6">
        <v>10980.0</v>
      </c>
      <c r="O30" s="7">
        <f t="shared" si="6"/>
        <v>37112.4</v>
      </c>
    </row>
    <row r="31">
      <c r="A31" s="6">
        <v>2025.0</v>
      </c>
      <c r="B31" s="6" t="s">
        <v>15</v>
      </c>
      <c r="C31" s="1" t="s">
        <v>205</v>
      </c>
      <c r="F31" s="6" t="s">
        <v>213</v>
      </c>
      <c r="G31" s="6" t="s">
        <v>218</v>
      </c>
      <c r="H31" s="6" t="s">
        <v>241</v>
      </c>
      <c r="I31" s="6" t="s">
        <v>213</v>
      </c>
      <c r="J31" s="6">
        <v>556.0</v>
      </c>
      <c r="K31" s="6"/>
      <c r="M31" s="6">
        <v>2500.0</v>
      </c>
      <c r="O31" s="7">
        <f t="shared" si="6"/>
        <v>1390</v>
      </c>
    </row>
    <row r="32">
      <c r="A32" s="6">
        <v>2025.0</v>
      </c>
      <c r="B32" s="6" t="s">
        <v>15</v>
      </c>
      <c r="C32" s="1" t="s">
        <v>205</v>
      </c>
      <c r="F32" s="6" t="s">
        <v>213</v>
      </c>
      <c r="G32" s="6" t="s">
        <v>218</v>
      </c>
      <c r="H32" s="6" t="s">
        <v>242</v>
      </c>
      <c r="I32" s="6" t="s">
        <v>213</v>
      </c>
      <c r="J32" s="6">
        <v>2628.0</v>
      </c>
      <c r="K32" s="6"/>
      <c r="M32" s="6">
        <v>5180.0</v>
      </c>
      <c r="O32" s="7">
        <f t="shared" si="6"/>
        <v>13613.04</v>
      </c>
    </row>
    <row r="33">
      <c r="A33" s="6">
        <v>2025.0</v>
      </c>
      <c r="B33" s="6" t="s">
        <v>15</v>
      </c>
      <c r="C33" s="1" t="s">
        <v>205</v>
      </c>
      <c r="F33" s="6" t="s">
        <v>213</v>
      </c>
      <c r="G33" s="6" t="s">
        <v>218</v>
      </c>
      <c r="H33" s="6" t="s">
        <v>242</v>
      </c>
      <c r="I33" s="6" t="s">
        <v>213</v>
      </c>
      <c r="J33" s="6">
        <v>704.0</v>
      </c>
      <c r="K33" s="6"/>
      <c r="M33" s="6">
        <v>5180.0</v>
      </c>
      <c r="O33" s="7">
        <f t="shared" si="6"/>
        <v>3646.72</v>
      </c>
    </row>
    <row r="34">
      <c r="A34" s="6">
        <v>2025.0</v>
      </c>
      <c r="B34" s="6" t="s">
        <v>15</v>
      </c>
      <c r="C34" s="1" t="s">
        <v>205</v>
      </c>
      <c r="F34" s="6" t="s">
        <v>213</v>
      </c>
      <c r="G34" s="6" t="s">
        <v>218</v>
      </c>
      <c r="H34" s="6" t="s">
        <v>243</v>
      </c>
      <c r="I34" s="6" t="s">
        <v>213</v>
      </c>
      <c r="J34" s="6">
        <v>932.0</v>
      </c>
      <c r="K34" s="6"/>
      <c r="M34" s="6">
        <v>1980.0</v>
      </c>
      <c r="O34" s="7">
        <f t="shared" si="6"/>
        <v>1845.36</v>
      </c>
    </row>
    <row r="35">
      <c r="A35" s="6">
        <v>2025.0</v>
      </c>
      <c r="B35" s="6" t="s">
        <v>15</v>
      </c>
      <c r="C35" s="1" t="s">
        <v>205</v>
      </c>
      <c r="F35" s="6" t="s">
        <v>213</v>
      </c>
      <c r="G35" s="6" t="s">
        <v>218</v>
      </c>
      <c r="H35" s="6" t="s">
        <v>243</v>
      </c>
      <c r="I35" s="6" t="s">
        <v>213</v>
      </c>
      <c r="J35" s="6">
        <v>1018.0</v>
      </c>
      <c r="K35" s="6"/>
      <c r="M35" s="6">
        <v>1980.0</v>
      </c>
      <c r="O35" s="7">
        <f t="shared" si="6"/>
        <v>2015.64</v>
      </c>
    </row>
    <row r="36">
      <c r="A36" s="6">
        <v>2025.0</v>
      </c>
      <c r="B36" s="6" t="s">
        <v>15</v>
      </c>
      <c r="C36" s="1" t="s">
        <v>205</v>
      </c>
      <c r="F36" s="6" t="s">
        <v>213</v>
      </c>
      <c r="G36" s="6" t="s">
        <v>218</v>
      </c>
      <c r="H36" s="6" t="s">
        <v>244</v>
      </c>
      <c r="I36" s="6" t="s">
        <v>213</v>
      </c>
      <c r="J36" s="6">
        <v>694.0</v>
      </c>
      <c r="K36" s="6"/>
      <c r="M36" s="6">
        <v>2100.0</v>
      </c>
      <c r="O36" s="7">
        <f t="shared" si="6"/>
        <v>1457.4</v>
      </c>
    </row>
    <row r="37">
      <c r="A37" s="24" t="s">
        <v>204</v>
      </c>
      <c r="B37" s="24"/>
      <c r="C37" s="24"/>
      <c r="D37" s="24"/>
      <c r="E37" s="24"/>
      <c r="F37" s="25"/>
      <c r="G37" s="25"/>
      <c r="H37" s="25"/>
      <c r="I37" s="25"/>
      <c r="J37" s="25"/>
      <c r="K37" s="25"/>
      <c r="L37" s="25"/>
      <c r="M37" s="25"/>
      <c r="N37" s="25"/>
      <c r="O37" s="26">
        <f>SUM(O2:O36)</f>
        <v>306154.04</v>
      </c>
    </row>
    <row r="38">
      <c r="A38" s="6">
        <v>2025.0</v>
      </c>
      <c r="B38" s="6" t="s">
        <v>82</v>
      </c>
      <c r="C38" s="1" t="s">
        <v>205</v>
      </c>
      <c r="F38" s="6" t="s">
        <v>206</v>
      </c>
      <c r="H38" s="6" t="s">
        <v>245</v>
      </c>
      <c r="L38" s="6">
        <v>1.0</v>
      </c>
      <c r="M38" s="15">
        <v>2200.0</v>
      </c>
      <c r="O38" s="7">
        <f t="shared" ref="O38:O55" si="7">M38*L38</f>
        <v>2200</v>
      </c>
    </row>
    <row r="39">
      <c r="A39" s="6">
        <v>2025.0</v>
      </c>
      <c r="B39" s="6" t="s">
        <v>82</v>
      </c>
      <c r="C39" s="1" t="s">
        <v>205</v>
      </c>
      <c r="F39" s="6" t="s">
        <v>206</v>
      </c>
      <c r="H39" s="6" t="s">
        <v>246</v>
      </c>
      <c r="L39" s="6">
        <v>1.0</v>
      </c>
      <c r="M39" s="15">
        <v>1250.0</v>
      </c>
      <c r="O39" s="7">
        <f t="shared" si="7"/>
        <v>1250</v>
      </c>
    </row>
    <row r="40">
      <c r="A40" s="6">
        <v>2025.0</v>
      </c>
      <c r="B40" s="6" t="s">
        <v>82</v>
      </c>
      <c r="C40" s="1" t="s">
        <v>205</v>
      </c>
      <c r="F40" s="6" t="s">
        <v>206</v>
      </c>
      <c r="H40" s="6" t="s">
        <v>247</v>
      </c>
      <c r="L40" s="6">
        <v>1.0</v>
      </c>
      <c r="M40" s="27">
        <v>4900.0</v>
      </c>
      <c r="O40" s="7">
        <f t="shared" si="7"/>
        <v>4900</v>
      </c>
    </row>
    <row r="41">
      <c r="A41" s="6">
        <v>2025.0</v>
      </c>
      <c r="B41" s="6" t="s">
        <v>82</v>
      </c>
      <c r="C41" s="1" t="s">
        <v>205</v>
      </c>
      <c r="F41" s="6" t="s">
        <v>206</v>
      </c>
      <c r="H41" s="6" t="s">
        <v>248</v>
      </c>
      <c r="L41" s="6">
        <v>1.0</v>
      </c>
      <c r="M41" s="15">
        <v>6990.0</v>
      </c>
      <c r="O41" s="7">
        <f t="shared" si="7"/>
        <v>6990</v>
      </c>
    </row>
    <row r="42">
      <c r="A42" s="6">
        <v>2025.0</v>
      </c>
      <c r="B42" s="6" t="s">
        <v>82</v>
      </c>
      <c r="C42" s="1" t="s">
        <v>205</v>
      </c>
      <c r="F42" s="6" t="s">
        <v>206</v>
      </c>
      <c r="H42" s="6" t="s">
        <v>249</v>
      </c>
      <c r="L42" s="6">
        <v>1.0</v>
      </c>
      <c r="M42" s="15">
        <v>1250.0</v>
      </c>
      <c r="O42" s="7">
        <f t="shared" si="7"/>
        <v>1250</v>
      </c>
    </row>
    <row r="43">
      <c r="A43" s="6">
        <v>2025.0</v>
      </c>
      <c r="B43" s="6" t="s">
        <v>82</v>
      </c>
      <c r="C43" s="1" t="s">
        <v>205</v>
      </c>
      <c r="F43" s="6" t="s">
        <v>206</v>
      </c>
      <c r="H43" s="6" t="s">
        <v>250</v>
      </c>
      <c r="L43" s="6">
        <v>1.0</v>
      </c>
      <c r="M43" s="15">
        <v>2450.0</v>
      </c>
      <c r="O43" s="7">
        <f t="shared" si="7"/>
        <v>2450</v>
      </c>
    </row>
    <row r="44">
      <c r="A44" s="6">
        <v>2025.0</v>
      </c>
      <c r="B44" s="6" t="s">
        <v>82</v>
      </c>
      <c r="C44" s="1" t="s">
        <v>205</v>
      </c>
      <c r="F44" s="6" t="s">
        <v>206</v>
      </c>
      <c r="H44" s="6" t="s">
        <v>251</v>
      </c>
      <c r="L44" s="6">
        <v>1.0</v>
      </c>
      <c r="M44" s="15">
        <v>4570.0</v>
      </c>
      <c r="O44" s="7">
        <f t="shared" si="7"/>
        <v>4570</v>
      </c>
    </row>
    <row r="45">
      <c r="A45" s="6">
        <v>2025.0</v>
      </c>
      <c r="B45" s="6" t="s">
        <v>82</v>
      </c>
      <c r="C45" s="1" t="s">
        <v>205</v>
      </c>
      <c r="F45" s="6" t="s">
        <v>206</v>
      </c>
      <c r="H45" s="6" t="s">
        <v>252</v>
      </c>
      <c r="L45" s="6">
        <v>3.0</v>
      </c>
      <c r="M45" s="6">
        <v>1990.0</v>
      </c>
      <c r="O45" s="7">
        <f t="shared" si="7"/>
        <v>5970</v>
      </c>
    </row>
    <row r="46">
      <c r="A46" s="6">
        <v>2025.0</v>
      </c>
      <c r="B46" s="6" t="s">
        <v>82</v>
      </c>
      <c r="C46" s="1" t="s">
        <v>205</v>
      </c>
      <c r="F46" s="6" t="s">
        <v>206</v>
      </c>
      <c r="H46" s="6" t="s">
        <v>253</v>
      </c>
      <c r="L46" s="6">
        <v>1.0</v>
      </c>
      <c r="M46" s="15">
        <v>6450.0</v>
      </c>
      <c r="O46" s="7">
        <f t="shared" si="7"/>
        <v>6450</v>
      </c>
    </row>
    <row r="47">
      <c r="A47" s="6">
        <v>2025.0</v>
      </c>
      <c r="B47" s="6" t="s">
        <v>82</v>
      </c>
      <c r="C47" s="1" t="s">
        <v>205</v>
      </c>
      <c r="F47" s="6" t="s">
        <v>206</v>
      </c>
      <c r="H47" s="6" t="s">
        <v>254</v>
      </c>
      <c r="L47" s="6">
        <v>1.0</v>
      </c>
      <c r="M47" s="15">
        <v>5350.0</v>
      </c>
      <c r="O47" s="7">
        <f t="shared" si="7"/>
        <v>5350</v>
      </c>
    </row>
    <row r="48">
      <c r="A48" s="6">
        <v>2025.0</v>
      </c>
      <c r="B48" s="6" t="s">
        <v>82</v>
      </c>
      <c r="C48" s="1" t="s">
        <v>205</v>
      </c>
      <c r="F48" s="6" t="s">
        <v>206</v>
      </c>
      <c r="H48" s="6" t="s">
        <v>255</v>
      </c>
      <c r="L48" s="6">
        <v>1.0</v>
      </c>
      <c r="M48" s="15">
        <v>8700.0</v>
      </c>
      <c r="O48" s="7">
        <f t="shared" si="7"/>
        <v>8700</v>
      </c>
    </row>
    <row r="49">
      <c r="A49" s="6">
        <v>2025.0</v>
      </c>
      <c r="B49" s="6" t="s">
        <v>82</v>
      </c>
      <c r="C49" s="1" t="s">
        <v>205</v>
      </c>
      <c r="F49" s="6" t="s">
        <v>206</v>
      </c>
      <c r="H49" s="6" t="s">
        <v>256</v>
      </c>
      <c r="L49" s="6">
        <v>1.0</v>
      </c>
      <c r="M49" s="15">
        <v>2600.0</v>
      </c>
      <c r="O49" s="7">
        <f t="shared" si="7"/>
        <v>2600</v>
      </c>
    </row>
    <row r="50">
      <c r="A50" s="6">
        <v>2025.0</v>
      </c>
      <c r="B50" s="6" t="s">
        <v>82</v>
      </c>
      <c r="C50" s="1" t="s">
        <v>205</v>
      </c>
      <c r="F50" s="6" t="s">
        <v>206</v>
      </c>
      <c r="H50" s="6" t="s">
        <v>257</v>
      </c>
      <c r="L50" s="6">
        <v>1.0</v>
      </c>
      <c r="M50" s="15">
        <v>3790.0</v>
      </c>
      <c r="O50" s="7">
        <f t="shared" si="7"/>
        <v>3790</v>
      </c>
    </row>
    <row r="51">
      <c r="A51" s="6">
        <v>2025.0</v>
      </c>
      <c r="B51" s="6" t="s">
        <v>82</v>
      </c>
      <c r="C51" s="1" t="s">
        <v>205</v>
      </c>
      <c r="F51" s="6" t="s">
        <v>206</v>
      </c>
      <c r="H51" s="6" t="s">
        <v>258</v>
      </c>
      <c r="L51" s="6">
        <v>1.0</v>
      </c>
      <c r="M51" s="15">
        <v>4750.0</v>
      </c>
      <c r="O51" s="7">
        <f t="shared" si="7"/>
        <v>4750</v>
      </c>
    </row>
    <row r="52">
      <c r="A52" s="6">
        <v>2025.0</v>
      </c>
      <c r="B52" s="6" t="s">
        <v>82</v>
      </c>
      <c r="C52" s="1" t="s">
        <v>205</v>
      </c>
      <c r="F52" s="6" t="s">
        <v>206</v>
      </c>
      <c r="H52" s="6" t="s">
        <v>259</v>
      </c>
      <c r="L52" s="6">
        <v>1.0</v>
      </c>
      <c r="M52" s="15">
        <v>1650.0</v>
      </c>
      <c r="O52" s="7">
        <f t="shared" si="7"/>
        <v>1650</v>
      </c>
    </row>
    <row r="53">
      <c r="A53" s="6">
        <v>2025.0</v>
      </c>
      <c r="B53" s="6" t="s">
        <v>82</v>
      </c>
      <c r="C53" s="1" t="s">
        <v>205</v>
      </c>
      <c r="F53" s="6" t="s">
        <v>206</v>
      </c>
      <c r="H53" s="6" t="s">
        <v>260</v>
      </c>
      <c r="L53" s="6">
        <v>3.0</v>
      </c>
      <c r="M53" s="6">
        <v>1950.0</v>
      </c>
      <c r="O53" s="7">
        <f t="shared" si="7"/>
        <v>5850</v>
      </c>
    </row>
    <row r="54">
      <c r="A54" s="6">
        <v>2025.0</v>
      </c>
      <c r="B54" s="6" t="s">
        <v>82</v>
      </c>
      <c r="C54" s="1" t="s">
        <v>205</v>
      </c>
      <c r="F54" s="6" t="s">
        <v>206</v>
      </c>
      <c r="G54" s="6" t="s">
        <v>207</v>
      </c>
      <c r="H54" s="6" t="s">
        <v>261</v>
      </c>
      <c r="L54" s="6">
        <v>2.0</v>
      </c>
      <c r="M54" s="6">
        <v>1450.0</v>
      </c>
      <c r="O54" s="7">
        <f t="shared" si="7"/>
        <v>2900</v>
      </c>
    </row>
    <row r="55">
      <c r="A55" s="6">
        <v>2025.0</v>
      </c>
      <c r="B55" s="6" t="s">
        <v>82</v>
      </c>
      <c r="C55" s="1" t="s">
        <v>205</v>
      </c>
      <c r="F55" s="6" t="s">
        <v>206</v>
      </c>
      <c r="G55" s="6" t="s">
        <v>207</v>
      </c>
      <c r="H55" s="6" t="s">
        <v>261</v>
      </c>
      <c r="L55" s="6">
        <v>1.0</v>
      </c>
      <c r="M55" s="15">
        <v>1450.0</v>
      </c>
      <c r="O55" s="7">
        <f t="shared" si="7"/>
        <v>1450</v>
      </c>
    </row>
    <row r="56">
      <c r="A56" s="24" t="s">
        <v>204</v>
      </c>
      <c r="B56" s="24"/>
      <c r="C56" s="24"/>
      <c r="D56" s="24"/>
      <c r="E56" s="24"/>
      <c r="F56" s="25"/>
      <c r="G56" s="25"/>
      <c r="H56" s="25"/>
      <c r="I56" s="25"/>
      <c r="J56" s="25"/>
      <c r="K56" s="25"/>
      <c r="L56" s="25"/>
      <c r="M56" s="25"/>
      <c r="N56" s="28" t="str">
        <f>CHANGE(O6,O56)</f>
        <v>#NAME?</v>
      </c>
      <c r="O56" s="26">
        <f>SUM(O38:O55)</f>
        <v>73070</v>
      </c>
      <c r="P56" s="6">
        <v>380000.0</v>
      </c>
      <c r="Q56" s="18">
        <f>P56+150000</f>
        <v>530000</v>
      </c>
      <c r="R56" s="19">
        <f>(Q56-P56)/P56</f>
        <v>0.3947368421</v>
      </c>
      <c r="S56" s="19"/>
      <c r="T56" s="19"/>
      <c r="U56" s="19"/>
    </row>
    <row r="57">
      <c r="A57" s="6">
        <v>2025.0</v>
      </c>
      <c r="B57" s="6" t="s">
        <v>82</v>
      </c>
      <c r="C57" s="1" t="s">
        <v>205</v>
      </c>
      <c r="F57" s="6" t="s">
        <v>213</v>
      </c>
      <c r="H57" s="6" t="s">
        <v>262</v>
      </c>
      <c r="I57" s="6" t="s">
        <v>106</v>
      </c>
      <c r="J57" s="6">
        <v>1300.0</v>
      </c>
      <c r="L57" s="6">
        <v>1.0</v>
      </c>
      <c r="M57" s="3">
        <v>13950.0</v>
      </c>
      <c r="O57" s="7">
        <f>M57*L57</f>
        <v>13950</v>
      </c>
    </row>
    <row r="58">
      <c r="A58" s="6">
        <v>2025.0</v>
      </c>
      <c r="B58" s="6" t="s">
        <v>82</v>
      </c>
      <c r="C58" s="1" t="s">
        <v>205</v>
      </c>
      <c r="F58" s="6" t="s">
        <v>213</v>
      </c>
      <c r="G58" s="6" t="s">
        <v>216</v>
      </c>
      <c r="H58" s="6" t="s">
        <v>217</v>
      </c>
      <c r="J58" s="3">
        <v>1702.0</v>
      </c>
      <c r="M58" s="3">
        <v>7980.0</v>
      </c>
      <c r="O58" s="7">
        <f>M58*J58/1000</f>
        <v>13581.96</v>
      </c>
    </row>
    <row r="59">
      <c r="A59" s="6">
        <v>2025.0</v>
      </c>
      <c r="B59" s="6" t="s">
        <v>82</v>
      </c>
      <c r="C59" s="1" t="s">
        <v>205</v>
      </c>
      <c r="F59" s="6" t="s">
        <v>213</v>
      </c>
      <c r="G59" s="6" t="s">
        <v>220</v>
      </c>
      <c r="H59" s="6" t="s">
        <v>221</v>
      </c>
      <c r="I59" s="6" t="s">
        <v>39</v>
      </c>
      <c r="J59" s="6">
        <v>160.0</v>
      </c>
      <c r="L59" s="6">
        <v>1.0</v>
      </c>
      <c r="M59" s="3">
        <v>4990.0</v>
      </c>
      <c r="N59" s="18" t="str">
        <f>CHANGE(M10,M59)</f>
        <v>#NAME?</v>
      </c>
      <c r="O59" s="7">
        <f t="shared" ref="O59:O60" si="8">M59*L59</f>
        <v>4990</v>
      </c>
    </row>
    <row r="60">
      <c r="A60" s="6">
        <v>2025.0</v>
      </c>
      <c r="B60" s="6" t="s">
        <v>82</v>
      </c>
      <c r="C60" s="1" t="s">
        <v>205</v>
      </c>
      <c r="F60" s="6" t="s">
        <v>213</v>
      </c>
      <c r="H60" s="6" t="s">
        <v>222</v>
      </c>
      <c r="I60" s="6" t="s">
        <v>41</v>
      </c>
      <c r="J60" s="6">
        <v>2500.0</v>
      </c>
      <c r="L60" s="6">
        <v>1.0</v>
      </c>
      <c r="M60" s="3">
        <v>7850.0</v>
      </c>
      <c r="O60" s="7">
        <f t="shared" si="8"/>
        <v>7850</v>
      </c>
    </row>
    <row r="61">
      <c r="A61" s="6">
        <v>2025.0</v>
      </c>
      <c r="B61" s="6" t="s">
        <v>82</v>
      </c>
      <c r="C61" s="1" t="s">
        <v>205</v>
      </c>
      <c r="F61" s="6" t="s">
        <v>213</v>
      </c>
      <c r="G61" s="6" t="s">
        <v>216</v>
      </c>
      <c r="H61" s="6" t="s">
        <v>263</v>
      </c>
      <c r="J61" s="3">
        <v>1766.0</v>
      </c>
      <c r="M61" s="3">
        <v>3100.0</v>
      </c>
      <c r="O61" s="7">
        <f t="shared" ref="O61:O62" si="9">M61*J61/1000</f>
        <v>5474.6</v>
      </c>
    </row>
    <row r="62">
      <c r="A62" s="6">
        <v>2025.0</v>
      </c>
      <c r="B62" s="6" t="s">
        <v>82</v>
      </c>
      <c r="C62" s="1" t="s">
        <v>205</v>
      </c>
      <c r="F62" s="6" t="s">
        <v>213</v>
      </c>
      <c r="G62" s="6" t="s">
        <v>218</v>
      </c>
      <c r="H62" s="6" t="s">
        <v>264</v>
      </c>
      <c r="J62" s="3">
        <v>874.0</v>
      </c>
      <c r="M62" s="3">
        <v>7900.0</v>
      </c>
      <c r="O62" s="7">
        <f t="shared" si="9"/>
        <v>6904.6</v>
      </c>
    </row>
    <row r="63">
      <c r="A63" s="6">
        <v>2025.0</v>
      </c>
      <c r="B63" s="6" t="s">
        <v>82</v>
      </c>
      <c r="C63" s="1" t="s">
        <v>205</v>
      </c>
      <c r="F63" s="6" t="s">
        <v>213</v>
      </c>
      <c r="H63" s="6" t="s">
        <v>224</v>
      </c>
      <c r="J63" s="6">
        <v>400.0</v>
      </c>
      <c r="L63" s="6">
        <v>1.0</v>
      </c>
      <c r="M63" s="3">
        <v>15990.0</v>
      </c>
      <c r="O63" s="7">
        <f>M63*L63</f>
        <v>15990</v>
      </c>
    </row>
    <row r="64">
      <c r="A64" s="6">
        <v>2025.0</v>
      </c>
      <c r="B64" s="6" t="s">
        <v>82</v>
      </c>
      <c r="C64" s="1" t="s">
        <v>205</v>
      </c>
      <c r="F64" s="6" t="s">
        <v>213</v>
      </c>
      <c r="G64" s="6" t="s">
        <v>220</v>
      </c>
      <c r="H64" s="6" t="s">
        <v>265</v>
      </c>
      <c r="I64" s="6" t="s">
        <v>213</v>
      </c>
      <c r="J64" s="3">
        <v>974.0</v>
      </c>
      <c r="M64" s="3">
        <v>27980.0</v>
      </c>
      <c r="O64" s="7">
        <f t="shared" ref="O64:O72" si="10">M64*J64/1000</f>
        <v>27252.52</v>
      </c>
    </row>
    <row r="65">
      <c r="A65" s="6">
        <v>2025.0</v>
      </c>
      <c r="B65" s="6" t="s">
        <v>82</v>
      </c>
      <c r="C65" s="1" t="s">
        <v>205</v>
      </c>
      <c r="F65" s="6" t="s">
        <v>213</v>
      </c>
      <c r="G65" s="6" t="s">
        <v>220</v>
      </c>
      <c r="H65" s="6" t="s">
        <v>225</v>
      </c>
      <c r="I65" s="6" t="s">
        <v>213</v>
      </c>
      <c r="J65" s="3">
        <v>1026.0</v>
      </c>
      <c r="M65" s="3">
        <v>10980.0</v>
      </c>
      <c r="N65" s="18" t="str">
        <f>CHANGE(M13,M65)</f>
        <v>#NAME?</v>
      </c>
      <c r="O65" s="7">
        <f t="shared" si="10"/>
        <v>11265.48</v>
      </c>
    </row>
    <row r="66">
      <c r="A66" s="6">
        <v>2025.0</v>
      </c>
      <c r="B66" s="6" t="s">
        <v>82</v>
      </c>
      <c r="C66" s="1" t="s">
        <v>205</v>
      </c>
      <c r="F66" s="6" t="s">
        <v>213</v>
      </c>
      <c r="G66" s="6" t="s">
        <v>220</v>
      </c>
      <c r="H66" s="6" t="s">
        <v>266</v>
      </c>
      <c r="I66" s="6" t="s">
        <v>213</v>
      </c>
      <c r="J66" s="3">
        <v>976.0</v>
      </c>
      <c r="M66" s="3">
        <v>26380.0</v>
      </c>
      <c r="O66" s="7">
        <f t="shared" si="10"/>
        <v>25746.88</v>
      </c>
    </row>
    <row r="67">
      <c r="A67" s="6">
        <v>2025.0</v>
      </c>
      <c r="B67" s="6" t="s">
        <v>82</v>
      </c>
      <c r="C67" s="1" t="s">
        <v>205</v>
      </c>
      <c r="F67" s="6" t="s">
        <v>213</v>
      </c>
      <c r="G67" s="6" t="s">
        <v>220</v>
      </c>
      <c r="H67" s="6" t="s">
        <v>226</v>
      </c>
      <c r="I67" s="6" t="s">
        <v>213</v>
      </c>
      <c r="J67" s="6">
        <v>782.0</v>
      </c>
      <c r="K67" s="6"/>
      <c r="M67" s="3">
        <v>19000.0</v>
      </c>
      <c r="N67" s="18" t="str">
        <f>CHANGE(M15,M67)</f>
        <v>#NAME?</v>
      </c>
      <c r="O67" s="7">
        <f t="shared" si="10"/>
        <v>14858</v>
      </c>
    </row>
    <row r="68">
      <c r="A68" s="6">
        <v>2025.0</v>
      </c>
      <c r="B68" s="6" t="s">
        <v>82</v>
      </c>
      <c r="C68" s="1" t="s">
        <v>205</v>
      </c>
      <c r="F68" s="6" t="s">
        <v>213</v>
      </c>
      <c r="G68" s="6" t="s">
        <v>220</v>
      </c>
      <c r="H68" s="6" t="s">
        <v>227</v>
      </c>
      <c r="I68" s="6" t="s">
        <v>213</v>
      </c>
      <c r="J68" s="3">
        <v>1088.0</v>
      </c>
      <c r="M68" s="3">
        <v>28980.0</v>
      </c>
      <c r="O68" s="7">
        <f t="shared" si="10"/>
        <v>31530.24</v>
      </c>
    </row>
    <row r="69">
      <c r="A69" s="6">
        <v>2025.0</v>
      </c>
      <c r="B69" s="6" t="s">
        <v>82</v>
      </c>
      <c r="C69" s="1" t="s">
        <v>205</v>
      </c>
      <c r="F69" s="6" t="s">
        <v>213</v>
      </c>
      <c r="G69" s="6" t="s">
        <v>220</v>
      </c>
      <c r="H69" s="6" t="s">
        <v>228</v>
      </c>
      <c r="I69" s="6" t="s">
        <v>213</v>
      </c>
      <c r="J69" s="6">
        <v>974.0</v>
      </c>
      <c r="M69" s="3">
        <v>31980.0</v>
      </c>
      <c r="O69" s="7">
        <f t="shared" si="10"/>
        <v>31148.52</v>
      </c>
    </row>
    <row r="70">
      <c r="A70" s="6">
        <v>2025.0</v>
      </c>
      <c r="B70" s="6" t="s">
        <v>82</v>
      </c>
      <c r="C70" s="1" t="s">
        <v>205</v>
      </c>
      <c r="F70" s="6" t="s">
        <v>213</v>
      </c>
      <c r="G70" s="6" t="s">
        <v>220</v>
      </c>
      <c r="H70" s="6" t="s">
        <v>267</v>
      </c>
      <c r="I70" s="6" t="s">
        <v>213</v>
      </c>
      <c r="J70" s="6">
        <v>516.0</v>
      </c>
      <c r="M70" s="3">
        <v>25800.0</v>
      </c>
      <c r="O70" s="7">
        <f t="shared" si="10"/>
        <v>13312.8</v>
      </c>
    </row>
    <row r="71">
      <c r="A71" s="6">
        <v>2025.0</v>
      </c>
      <c r="B71" s="6" t="s">
        <v>82</v>
      </c>
      <c r="C71" s="1" t="s">
        <v>205</v>
      </c>
      <c r="F71" s="6" t="s">
        <v>213</v>
      </c>
      <c r="G71" s="6" t="s">
        <v>218</v>
      </c>
      <c r="H71" s="6" t="s">
        <v>230</v>
      </c>
      <c r="J71" s="3">
        <v>4300.0</v>
      </c>
      <c r="M71" s="3">
        <v>2300.0</v>
      </c>
      <c r="O71" s="7">
        <f t="shared" si="10"/>
        <v>9890</v>
      </c>
    </row>
    <row r="72">
      <c r="A72" s="6">
        <v>2025.0</v>
      </c>
      <c r="B72" s="6" t="s">
        <v>82</v>
      </c>
      <c r="C72" s="1" t="s">
        <v>205</v>
      </c>
      <c r="F72" s="6" t="s">
        <v>213</v>
      </c>
      <c r="G72" s="6" t="s">
        <v>218</v>
      </c>
      <c r="H72" s="6" t="s">
        <v>231</v>
      </c>
      <c r="J72" s="6">
        <v>450.0</v>
      </c>
      <c r="M72" s="3">
        <v>7600.0</v>
      </c>
      <c r="O72" s="7">
        <f t="shared" si="10"/>
        <v>3420</v>
      </c>
    </row>
    <row r="73">
      <c r="A73" s="6">
        <v>2025.0</v>
      </c>
      <c r="B73" s="6" t="s">
        <v>82</v>
      </c>
      <c r="C73" s="1" t="s">
        <v>205</v>
      </c>
      <c r="F73" s="6" t="s">
        <v>213</v>
      </c>
      <c r="G73" s="6" t="s">
        <v>232</v>
      </c>
      <c r="H73" s="6" t="s">
        <v>234</v>
      </c>
      <c r="I73" s="6" t="s">
        <v>39</v>
      </c>
      <c r="J73" s="6">
        <v>500.0</v>
      </c>
      <c r="L73" s="6">
        <v>1.0</v>
      </c>
      <c r="M73" s="3">
        <v>3990.0</v>
      </c>
      <c r="O73" s="7">
        <f t="shared" ref="O73:O74" si="11">M73*L73</f>
        <v>3990</v>
      </c>
    </row>
    <row r="74">
      <c r="A74" s="6">
        <v>2025.0</v>
      </c>
      <c r="B74" s="6" t="s">
        <v>82</v>
      </c>
      <c r="C74" s="1" t="s">
        <v>205</v>
      </c>
      <c r="F74" s="6" t="s">
        <v>213</v>
      </c>
      <c r="G74" s="6" t="s">
        <v>207</v>
      </c>
      <c r="H74" s="6" t="s">
        <v>210</v>
      </c>
      <c r="I74" s="6" t="s">
        <v>66</v>
      </c>
      <c r="J74" s="6">
        <v>900.0</v>
      </c>
      <c r="L74" s="6">
        <v>5.0</v>
      </c>
      <c r="M74" s="6">
        <v>3390.0</v>
      </c>
      <c r="O74" s="7">
        <f t="shared" si="11"/>
        <v>16950</v>
      </c>
    </row>
    <row r="75">
      <c r="A75" s="6">
        <v>2025.0</v>
      </c>
      <c r="B75" s="6" t="s">
        <v>82</v>
      </c>
      <c r="C75" s="1" t="s">
        <v>205</v>
      </c>
      <c r="F75" s="6" t="s">
        <v>213</v>
      </c>
      <c r="G75" s="6" t="s">
        <v>218</v>
      </c>
      <c r="H75" s="6" t="s">
        <v>268</v>
      </c>
      <c r="J75" s="6">
        <v>484.0</v>
      </c>
      <c r="M75" s="3">
        <v>5900.0</v>
      </c>
      <c r="O75" s="7">
        <f>M75*J75/1000</f>
        <v>2855.6</v>
      </c>
    </row>
    <row r="76">
      <c r="A76" s="6">
        <v>2025.0</v>
      </c>
      <c r="B76" s="6" t="s">
        <v>82</v>
      </c>
      <c r="C76" s="1" t="s">
        <v>205</v>
      </c>
      <c r="F76" s="6" t="s">
        <v>213</v>
      </c>
      <c r="G76" s="6" t="s">
        <v>232</v>
      </c>
      <c r="H76" s="6" t="s">
        <v>235</v>
      </c>
      <c r="I76" s="6" t="s">
        <v>39</v>
      </c>
      <c r="J76" s="6">
        <v>500.0</v>
      </c>
      <c r="L76" s="6">
        <v>1.0</v>
      </c>
      <c r="M76" s="3">
        <v>3590.0</v>
      </c>
      <c r="N76" s="18" t="str">
        <f>CHANGE(M23,M76)</f>
        <v>#NAME?</v>
      </c>
      <c r="O76" s="7">
        <f>M76*L76</f>
        <v>3590</v>
      </c>
    </row>
    <row r="77">
      <c r="A77" s="6">
        <v>2025.0</v>
      </c>
      <c r="B77" s="6" t="s">
        <v>82</v>
      </c>
      <c r="C77" s="1" t="s">
        <v>205</v>
      </c>
      <c r="F77" s="6" t="s">
        <v>213</v>
      </c>
      <c r="G77" s="6" t="s">
        <v>216</v>
      </c>
      <c r="H77" s="6" t="s">
        <v>269</v>
      </c>
      <c r="J77" s="6">
        <v>954.0</v>
      </c>
      <c r="M77" s="6">
        <v>1980.0</v>
      </c>
      <c r="O77" s="7">
        <f>M77*J77/1000</f>
        <v>1888.92</v>
      </c>
    </row>
    <row r="78">
      <c r="A78" s="6">
        <v>2025.0</v>
      </c>
      <c r="B78" s="6" t="s">
        <v>82</v>
      </c>
      <c r="C78" s="1" t="s">
        <v>205</v>
      </c>
      <c r="F78" s="6" t="s">
        <v>213</v>
      </c>
      <c r="G78" s="6" t="s">
        <v>270</v>
      </c>
      <c r="H78" s="6" t="s">
        <v>271</v>
      </c>
      <c r="I78" s="6" t="s">
        <v>78</v>
      </c>
      <c r="J78" s="6">
        <v>650.0</v>
      </c>
      <c r="L78" s="6">
        <v>1.0</v>
      </c>
      <c r="M78" s="6">
        <v>8850.0</v>
      </c>
      <c r="O78" s="7">
        <f>M78*L78</f>
        <v>8850</v>
      </c>
    </row>
    <row r="79">
      <c r="A79" s="6">
        <v>2025.0</v>
      </c>
      <c r="B79" s="6" t="s">
        <v>82</v>
      </c>
      <c r="C79" s="1" t="s">
        <v>205</v>
      </c>
      <c r="F79" s="6" t="s">
        <v>213</v>
      </c>
      <c r="G79" s="6" t="s">
        <v>218</v>
      </c>
      <c r="H79" s="6" t="s">
        <v>272</v>
      </c>
      <c r="J79" s="3">
        <v>1158.0</v>
      </c>
      <c r="M79" s="3">
        <v>2780.0</v>
      </c>
      <c r="O79" s="7">
        <f t="shared" ref="O79:O86" si="12">M79*J79/1000</f>
        <v>3219.24</v>
      </c>
    </row>
    <row r="80">
      <c r="A80" s="6">
        <v>2025.0</v>
      </c>
      <c r="B80" s="6" t="s">
        <v>82</v>
      </c>
      <c r="C80" s="1" t="s">
        <v>205</v>
      </c>
      <c r="F80" s="6" t="s">
        <v>213</v>
      </c>
      <c r="G80" s="6" t="s">
        <v>218</v>
      </c>
      <c r="H80" s="6" t="s">
        <v>273</v>
      </c>
      <c r="J80" s="3">
        <v>2138.0</v>
      </c>
      <c r="M80" s="6">
        <v>1980.0</v>
      </c>
      <c r="O80" s="7">
        <f t="shared" si="12"/>
        <v>4233.24</v>
      </c>
    </row>
    <row r="81">
      <c r="A81" s="6">
        <v>2025.0</v>
      </c>
      <c r="B81" s="6" t="s">
        <v>82</v>
      </c>
      <c r="C81" s="1" t="s">
        <v>205</v>
      </c>
      <c r="F81" s="6" t="s">
        <v>213</v>
      </c>
      <c r="G81" s="6" t="s">
        <v>220</v>
      </c>
      <c r="H81" s="6" t="s">
        <v>274</v>
      </c>
      <c r="I81" s="6" t="s">
        <v>213</v>
      </c>
      <c r="J81" s="3">
        <v>1230.0</v>
      </c>
      <c r="M81" s="3">
        <v>14780.0</v>
      </c>
      <c r="O81" s="7">
        <f t="shared" si="12"/>
        <v>18179.4</v>
      </c>
    </row>
    <row r="82">
      <c r="A82" s="6">
        <v>2025.0</v>
      </c>
      <c r="B82" s="6" t="s">
        <v>82</v>
      </c>
      <c r="C82" s="1" t="s">
        <v>205</v>
      </c>
      <c r="F82" s="6" t="s">
        <v>213</v>
      </c>
      <c r="G82" s="6" t="s">
        <v>218</v>
      </c>
      <c r="H82" s="6" t="s">
        <v>237</v>
      </c>
      <c r="J82" s="3">
        <f>1094+830</f>
        <v>1924</v>
      </c>
      <c r="M82" s="3">
        <v>2400.0</v>
      </c>
      <c r="O82" s="7">
        <f t="shared" si="12"/>
        <v>4617.6</v>
      </c>
    </row>
    <row r="83">
      <c r="A83" s="6">
        <v>2025.0</v>
      </c>
      <c r="B83" s="6" t="s">
        <v>82</v>
      </c>
      <c r="C83" s="1" t="s">
        <v>205</v>
      </c>
      <c r="F83" s="6" t="s">
        <v>213</v>
      </c>
      <c r="G83" s="6" t="s">
        <v>218</v>
      </c>
      <c r="H83" s="6" t="s">
        <v>238</v>
      </c>
      <c r="J83" s="3">
        <v>1010.0</v>
      </c>
      <c r="M83" s="3">
        <v>6200.0</v>
      </c>
      <c r="O83" s="7">
        <f t="shared" si="12"/>
        <v>6262</v>
      </c>
    </row>
    <row r="84">
      <c r="A84" s="6">
        <v>2025.0</v>
      </c>
      <c r="B84" s="6" t="s">
        <v>82</v>
      </c>
      <c r="C84" s="1" t="s">
        <v>205</v>
      </c>
      <c r="F84" s="6" t="s">
        <v>213</v>
      </c>
      <c r="G84" s="6" t="s">
        <v>218</v>
      </c>
      <c r="H84" s="6" t="s">
        <v>239</v>
      </c>
      <c r="J84" s="6">
        <v>1276.0</v>
      </c>
      <c r="M84" s="6">
        <v>2580.0</v>
      </c>
      <c r="O84" s="7">
        <f t="shared" si="12"/>
        <v>3292.08</v>
      </c>
    </row>
    <row r="85">
      <c r="A85" s="6">
        <v>2025.0</v>
      </c>
      <c r="B85" s="6" t="s">
        <v>82</v>
      </c>
      <c r="C85" s="1" t="s">
        <v>205</v>
      </c>
      <c r="F85" s="6" t="s">
        <v>213</v>
      </c>
      <c r="G85" s="6" t="s">
        <v>220</v>
      </c>
      <c r="H85" s="6" t="s">
        <v>240</v>
      </c>
      <c r="I85" s="6" t="s">
        <v>213</v>
      </c>
      <c r="J85" s="3">
        <v>2960.0</v>
      </c>
      <c r="K85" s="18" t="str">
        <f>CHANGE(J30,J85)</f>
        <v>#NAME?</v>
      </c>
      <c r="M85" s="3">
        <v>9400.0</v>
      </c>
      <c r="N85" s="18" t="str">
        <f>CHANGE(M30,M85)</f>
        <v>#NAME?</v>
      </c>
      <c r="O85" s="7">
        <f t="shared" si="12"/>
        <v>27824</v>
      </c>
    </row>
    <row r="86">
      <c r="A86" s="6">
        <v>2025.0</v>
      </c>
      <c r="B86" s="6" t="s">
        <v>82</v>
      </c>
      <c r="C86" s="1" t="s">
        <v>205</v>
      </c>
      <c r="F86" s="6" t="s">
        <v>213</v>
      </c>
      <c r="G86" s="6" t="s">
        <v>218</v>
      </c>
      <c r="H86" s="6" t="s">
        <v>241</v>
      </c>
      <c r="J86" s="6">
        <v>704.0</v>
      </c>
      <c r="M86" s="3">
        <v>2300.0</v>
      </c>
      <c r="O86" s="7">
        <f t="shared" si="12"/>
        <v>1619.2</v>
      </c>
    </row>
    <row r="87">
      <c r="A87" s="6">
        <v>2025.0</v>
      </c>
      <c r="B87" s="6" t="s">
        <v>82</v>
      </c>
      <c r="C87" s="1" t="s">
        <v>205</v>
      </c>
      <c r="F87" s="6" t="s">
        <v>213</v>
      </c>
      <c r="G87" s="6" t="s">
        <v>275</v>
      </c>
      <c r="H87" s="6" t="s">
        <v>275</v>
      </c>
      <c r="I87" s="6" t="s">
        <v>111</v>
      </c>
      <c r="J87" s="6">
        <v>500.0</v>
      </c>
      <c r="L87" s="6">
        <v>1.0</v>
      </c>
      <c r="M87" s="6">
        <v>1350.0</v>
      </c>
      <c r="O87" s="7">
        <f>M87*L87</f>
        <v>1350</v>
      </c>
    </row>
    <row r="88">
      <c r="A88" s="6">
        <v>2025.0</v>
      </c>
      <c r="B88" s="6" t="s">
        <v>82</v>
      </c>
      <c r="C88" s="1" t="s">
        <v>205</v>
      </c>
      <c r="F88" s="6" t="s">
        <v>213</v>
      </c>
      <c r="G88" s="6" t="s">
        <v>218</v>
      </c>
      <c r="H88" s="6" t="s">
        <v>242</v>
      </c>
      <c r="J88" s="3">
        <v>3460.0</v>
      </c>
      <c r="M88" s="3">
        <v>5980.0</v>
      </c>
      <c r="O88" s="7">
        <f>M88*J88/1000</f>
        <v>20690.8</v>
      </c>
    </row>
    <row r="89">
      <c r="A89" s="6">
        <v>2025.0</v>
      </c>
      <c r="B89" s="6" t="s">
        <v>82</v>
      </c>
      <c r="C89" s="1" t="s">
        <v>205</v>
      </c>
      <c r="F89" s="6" t="s">
        <v>213</v>
      </c>
      <c r="H89" s="6" t="s">
        <v>276</v>
      </c>
      <c r="J89" s="6">
        <v>55.0</v>
      </c>
      <c r="L89" s="6">
        <v>1.0</v>
      </c>
      <c r="M89" s="6">
        <v>1990.0</v>
      </c>
      <c r="O89" s="7">
        <f>M89*L89</f>
        <v>1990</v>
      </c>
    </row>
    <row r="90">
      <c r="A90" s="6">
        <v>2025.0</v>
      </c>
      <c r="B90" s="6" t="s">
        <v>82</v>
      </c>
      <c r="C90" s="1" t="s">
        <v>205</v>
      </c>
      <c r="F90" s="6" t="s">
        <v>213</v>
      </c>
      <c r="G90" s="6" t="s">
        <v>218</v>
      </c>
      <c r="H90" s="6" t="s">
        <v>243</v>
      </c>
      <c r="J90" s="6">
        <v>1094.0</v>
      </c>
      <c r="M90" s="3">
        <v>1980.0</v>
      </c>
      <c r="O90" s="7">
        <f>M90*J90/1000</f>
        <v>2166.12</v>
      </c>
    </row>
    <row r="91">
      <c r="A91" s="24" t="s">
        <v>204</v>
      </c>
      <c r="B91" s="24"/>
      <c r="C91" s="24"/>
      <c r="D91" s="24"/>
      <c r="E91" s="24"/>
      <c r="F91" s="25"/>
      <c r="G91" s="25"/>
      <c r="H91" s="25"/>
      <c r="I91" s="25"/>
      <c r="J91" s="25"/>
      <c r="K91" s="25"/>
      <c r="L91" s="25"/>
      <c r="M91" s="25"/>
      <c r="N91" s="28" t="str">
        <f>CHANGE(O37,O91)</f>
        <v>#NAME?</v>
      </c>
      <c r="O91" s="26">
        <f>SUM(O57:O90)</f>
        <v>370733.8</v>
      </c>
    </row>
    <row r="92">
      <c r="A92" s="6">
        <v>2025.0</v>
      </c>
      <c r="B92" s="6" t="s">
        <v>152</v>
      </c>
      <c r="C92" s="1" t="s">
        <v>205</v>
      </c>
      <c r="F92" s="6" t="s">
        <v>213</v>
      </c>
      <c r="H92" s="6" t="s">
        <v>277</v>
      </c>
      <c r="I92" s="6" t="s">
        <v>41</v>
      </c>
      <c r="J92" s="6">
        <v>2500.0</v>
      </c>
      <c r="L92" s="6">
        <v>1.0</v>
      </c>
      <c r="M92" s="6">
        <v>8990.0</v>
      </c>
      <c r="O92" s="13">
        <f>L92*M92</f>
        <v>8990</v>
      </c>
    </row>
    <row r="93">
      <c r="A93" s="6">
        <v>2025.0</v>
      </c>
      <c r="B93" s="6" t="s">
        <v>152</v>
      </c>
      <c r="C93" s="1" t="s">
        <v>205</v>
      </c>
      <c r="F93" s="6" t="s">
        <v>213</v>
      </c>
      <c r="G93" s="6" t="s">
        <v>220</v>
      </c>
      <c r="H93" s="6" t="s">
        <v>240</v>
      </c>
      <c r="I93" s="6" t="s">
        <v>213</v>
      </c>
      <c r="J93" s="6">
        <v>2985.0</v>
      </c>
      <c r="M93" s="6">
        <v>10980.0</v>
      </c>
      <c r="O93" s="7">
        <f t="shared" ref="O93:O113" si="13">M93*J93/1000</f>
        <v>32775.3</v>
      </c>
    </row>
    <row r="94">
      <c r="A94" s="6">
        <v>2025.0</v>
      </c>
      <c r="B94" s="6" t="s">
        <v>152</v>
      </c>
      <c r="C94" s="1" t="s">
        <v>205</v>
      </c>
      <c r="F94" s="6" t="s">
        <v>213</v>
      </c>
      <c r="G94" s="6" t="s">
        <v>220</v>
      </c>
      <c r="H94" s="6" t="s">
        <v>274</v>
      </c>
      <c r="I94" s="6" t="s">
        <v>213</v>
      </c>
      <c r="J94" s="6">
        <v>1120.0</v>
      </c>
      <c r="M94" s="6">
        <v>19580.0</v>
      </c>
      <c r="O94" s="7">
        <f t="shared" si="13"/>
        <v>21929.6</v>
      </c>
    </row>
    <row r="95">
      <c r="A95" s="6">
        <v>2025.0</v>
      </c>
      <c r="B95" s="6" t="s">
        <v>152</v>
      </c>
      <c r="C95" s="1" t="s">
        <v>205</v>
      </c>
      <c r="F95" s="6" t="s">
        <v>213</v>
      </c>
      <c r="G95" s="6" t="s">
        <v>220</v>
      </c>
      <c r="H95" s="6" t="s">
        <v>266</v>
      </c>
      <c r="I95" s="6" t="s">
        <v>213</v>
      </c>
      <c r="J95" s="3">
        <v>870.0</v>
      </c>
      <c r="M95" s="6">
        <v>26380.0</v>
      </c>
      <c r="O95" s="7">
        <f t="shared" si="13"/>
        <v>22950.6</v>
      </c>
    </row>
    <row r="96">
      <c r="A96" s="6">
        <v>2025.0</v>
      </c>
      <c r="B96" s="6" t="s">
        <v>152</v>
      </c>
      <c r="C96" s="1" t="s">
        <v>205</v>
      </c>
      <c r="F96" s="6" t="s">
        <v>213</v>
      </c>
      <c r="G96" s="6" t="s">
        <v>220</v>
      </c>
      <c r="H96" s="6" t="s">
        <v>278</v>
      </c>
      <c r="I96" s="6" t="s">
        <v>213</v>
      </c>
      <c r="J96" s="6">
        <v>1438.0</v>
      </c>
      <c r="M96" s="6">
        <v>26980.0</v>
      </c>
      <c r="O96" s="7">
        <f t="shared" si="13"/>
        <v>38797.24</v>
      </c>
    </row>
    <row r="97">
      <c r="A97" s="6">
        <v>2025.0</v>
      </c>
      <c r="B97" s="6" t="s">
        <v>152</v>
      </c>
      <c r="C97" s="1" t="s">
        <v>205</v>
      </c>
      <c r="F97" s="6" t="s">
        <v>213</v>
      </c>
      <c r="G97" s="6" t="s">
        <v>220</v>
      </c>
      <c r="H97" s="6" t="s">
        <v>228</v>
      </c>
      <c r="I97" s="6" t="s">
        <v>213</v>
      </c>
      <c r="J97" s="6">
        <v>1212.0</v>
      </c>
      <c r="M97" s="6">
        <v>31980.0</v>
      </c>
      <c r="O97" s="7">
        <f t="shared" si="13"/>
        <v>38759.76</v>
      </c>
    </row>
    <row r="98">
      <c r="A98" s="6">
        <v>2025.0</v>
      </c>
      <c r="B98" s="6" t="s">
        <v>152</v>
      </c>
      <c r="C98" s="1" t="s">
        <v>205</v>
      </c>
      <c r="F98" s="6" t="s">
        <v>213</v>
      </c>
      <c r="G98" s="6" t="s">
        <v>220</v>
      </c>
      <c r="H98" s="6" t="s">
        <v>226</v>
      </c>
      <c r="I98" s="6" t="s">
        <v>213</v>
      </c>
      <c r="J98" s="6">
        <v>772.0</v>
      </c>
      <c r="M98" s="6">
        <v>17380.0</v>
      </c>
      <c r="O98" s="7">
        <f t="shared" si="13"/>
        <v>13417.36</v>
      </c>
    </row>
    <row r="99">
      <c r="A99" s="6">
        <v>2025.0</v>
      </c>
      <c r="B99" s="6" t="s">
        <v>152</v>
      </c>
      <c r="C99" s="1" t="s">
        <v>205</v>
      </c>
      <c r="F99" s="6" t="s">
        <v>213</v>
      </c>
      <c r="G99" s="6" t="s">
        <v>220</v>
      </c>
      <c r="H99" s="6" t="s">
        <v>225</v>
      </c>
      <c r="I99" s="6" t="s">
        <v>213</v>
      </c>
      <c r="J99" s="3">
        <v>1050.0</v>
      </c>
      <c r="M99" s="3">
        <v>8580.0</v>
      </c>
      <c r="O99" s="7">
        <f t="shared" si="13"/>
        <v>9009</v>
      </c>
    </row>
    <row r="100">
      <c r="A100" s="6">
        <v>2025.0</v>
      </c>
      <c r="B100" s="6" t="s">
        <v>152</v>
      </c>
      <c r="C100" s="1" t="s">
        <v>205</v>
      </c>
      <c r="F100" s="6" t="s">
        <v>213</v>
      </c>
      <c r="G100" s="6" t="s">
        <v>218</v>
      </c>
      <c r="H100" s="6" t="s">
        <v>273</v>
      </c>
      <c r="I100" s="6" t="s">
        <v>213</v>
      </c>
      <c r="J100" s="3">
        <v>2402.0</v>
      </c>
      <c r="M100" s="6">
        <v>1580.0</v>
      </c>
      <c r="O100" s="7">
        <f t="shared" si="13"/>
        <v>3795.16</v>
      </c>
    </row>
    <row r="101">
      <c r="A101" s="6">
        <v>2025.0</v>
      </c>
      <c r="B101" s="6" t="s">
        <v>152</v>
      </c>
      <c r="C101" s="1" t="s">
        <v>205</v>
      </c>
      <c r="F101" s="6" t="s">
        <v>213</v>
      </c>
      <c r="G101" s="6" t="s">
        <v>218</v>
      </c>
      <c r="H101" s="6" t="s">
        <v>230</v>
      </c>
      <c r="I101" s="6" t="s">
        <v>213</v>
      </c>
      <c r="J101" s="6">
        <v>3542.0</v>
      </c>
      <c r="M101" s="6">
        <v>3580.0</v>
      </c>
      <c r="O101" s="7">
        <f t="shared" si="13"/>
        <v>12680.36</v>
      </c>
    </row>
    <row r="102">
      <c r="A102" s="6">
        <v>2025.0</v>
      </c>
      <c r="B102" s="6" t="s">
        <v>152</v>
      </c>
      <c r="C102" s="1" t="s">
        <v>205</v>
      </c>
      <c r="F102" s="6" t="s">
        <v>213</v>
      </c>
      <c r="G102" s="6" t="s">
        <v>218</v>
      </c>
      <c r="H102" s="6" t="s">
        <v>242</v>
      </c>
      <c r="I102" s="6" t="s">
        <v>213</v>
      </c>
      <c r="J102" s="6">
        <v>4515.0</v>
      </c>
      <c r="M102" s="6">
        <v>4980.0</v>
      </c>
      <c r="O102" s="7">
        <f t="shared" si="13"/>
        <v>22484.7</v>
      </c>
    </row>
    <row r="103">
      <c r="A103" s="6">
        <v>2025.0</v>
      </c>
      <c r="B103" s="6" t="s">
        <v>152</v>
      </c>
      <c r="C103" s="1" t="s">
        <v>205</v>
      </c>
      <c r="F103" s="6" t="s">
        <v>213</v>
      </c>
      <c r="G103" s="6" t="s">
        <v>218</v>
      </c>
      <c r="H103" s="6" t="s">
        <v>243</v>
      </c>
      <c r="I103" s="6" t="s">
        <v>213</v>
      </c>
      <c r="J103" s="6">
        <v>2102.0</v>
      </c>
      <c r="M103" s="3">
        <v>2580.0</v>
      </c>
      <c r="O103" s="7">
        <f t="shared" si="13"/>
        <v>5423.16</v>
      </c>
    </row>
    <row r="104">
      <c r="A104" s="6">
        <v>2025.0</v>
      </c>
      <c r="B104" s="6" t="s">
        <v>152</v>
      </c>
      <c r="C104" s="1" t="s">
        <v>205</v>
      </c>
      <c r="F104" s="6" t="s">
        <v>213</v>
      </c>
      <c r="G104" s="6" t="s">
        <v>216</v>
      </c>
      <c r="H104" s="6" t="s">
        <v>263</v>
      </c>
      <c r="I104" s="6" t="s">
        <v>213</v>
      </c>
      <c r="J104" s="3">
        <v>2128.0</v>
      </c>
      <c r="M104" s="3">
        <v>3100.0</v>
      </c>
      <c r="O104" s="7">
        <f t="shared" si="13"/>
        <v>6596.8</v>
      </c>
    </row>
    <row r="105">
      <c r="A105" s="6">
        <v>2025.0</v>
      </c>
      <c r="B105" s="6" t="s">
        <v>152</v>
      </c>
      <c r="C105" s="1" t="s">
        <v>205</v>
      </c>
      <c r="F105" s="6" t="s">
        <v>213</v>
      </c>
      <c r="G105" s="6" t="s">
        <v>218</v>
      </c>
      <c r="H105" s="6" t="s">
        <v>264</v>
      </c>
      <c r="I105" s="6" t="s">
        <v>213</v>
      </c>
      <c r="J105" s="3">
        <v>1040.0</v>
      </c>
      <c r="M105" s="3">
        <v>7980.0</v>
      </c>
      <c r="O105" s="7">
        <f t="shared" si="13"/>
        <v>8299.2</v>
      </c>
    </row>
    <row r="106">
      <c r="A106" s="6">
        <v>2025.0</v>
      </c>
      <c r="B106" s="6" t="s">
        <v>152</v>
      </c>
      <c r="C106" s="1" t="s">
        <v>205</v>
      </c>
      <c r="F106" s="6" t="s">
        <v>213</v>
      </c>
      <c r="G106" s="6" t="s">
        <v>218</v>
      </c>
      <c r="H106" s="6" t="s">
        <v>238</v>
      </c>
      <c r="I106" s="6" t="s">
        <v>213</v>
      </c>
      <c r="J106" s="6">
        <v>996.0</v>
      </c>
      <c r="K106" s="6"/>
      <c r="M106" s="6">
        <v>2980.0</v>
      </c>
      <c r="O106" s="7">
        <f t="shared" si="13"/>
        <v>2968.08</v>
      </c>
    </row>
    <row r="107">
      <c r="A107" s="6">
        <v>2025.0</v>
      </c>
      <c r="B107" s="6" t="s">
        <v>152</v>
      </c>
      <c r="C107" s="1" t="s">
        <v>205</v>
      </c>
      <c r="F107" s="6" t="s">
        <v>213</v>
      </c>
      <c r="G107" s="6" t="s">
        <v>218</v>
      </c>
      <c r="H107" s="6" t="s">
        <v>237</v>
      </c>
      <c r="I107" s="6" t="s">
        <v>213</v>
      </c>
      <c r="J107" s="6">
        <v>2030.0</v>
      </c>
      <c r="K107" s="6"/>
      <c r="M107" s="6">
        <v>1980.0</v>
      </c>
      <c r="O107" s="7">
        <f t="shared" si="13"/>
        <v>4019.4</v>
      </c>
    </row>
    <row r="108">
      <c r="A108" s="6">
        <v>2025.0</v>
      </c>
      <c r="B108" s="6" t="s">
        <v>152</v>
      </c>
      <c r="C108" s="1" t="s">
        <v>205</v>
      </c>
      <c r="F108" s="6" t="s">
        <v>213</v>
      </c>
      <c r="G108" s="6" t="s">
        <v>218</v>
      </c>
      <c r="H108" s="6" t="s">
        <v>239</v>
      </c>
      <c r="I108" s="6" t="s">
        <v>213</v>
      </c>
      <c r="J108" s="6">
        <v>1652.0</v>
      </c>
      <c r="K108" s="6"/>
      <c r="M108" s="6">
        <v>2780.0</v>
      </c>
      <c r="O108" s="7">
        <f t="shared" si="13"/>
        <v>4592.56</v>
      </c>
    </row>
    <row r="109">
      <c r="A109" s="6">
        <v>2025.0</v>
      </c>
      <c r="B109" s="6" t="s">
        <v>152</v>
      </c>
      <c r="C109" s="1" t="s">
        <v>205</v>
      </c>
      <c r="F109" s="6" t="s">
        <v>213</v>
      </c>
      <c r="G109" s="6" t="s">
        <v>216</v>
      </c>
      <c r="H109" s="6" t="s">
        <v>236</v>
      </c>
      <c r="I109" s="6" t="s">
        <v>213</v>
      </c>
      <c r="J109" s="6">
        <v>850.0</v>
      </c>
      <c r="K109" s="6"/>
      <c r="M109" s="6">
        <v>3580.0</v>
      </c>
      <c r="O109" s="7">
        <f t="shared" si="13"/>
        <v>3043</v>
      </c>
    </row>
    <row r="110">
      <c r="A110" s="6">
        <v>2025.0</v>
      </c>
      <c r="B110" s="6" t="s">
        <v>152</v>
      </c>
      <c r="C110" s="1" t="s">
        <v>205</v>
      </c>
      <c r="F110" s="6" t="s">
        <v>213</v>
      </c>
      <c r="G110" s="6" t="s">
        <v>218</v>
      </c>
      <c r="H110" s="6" t="s">
        <v>279</v>
      </c>
      <c r="I110" s="6" t="s">
        <v>213</v>
      </c>
      <c r="J110" s="6">
        <v>954.0</v>
      </c>
      <c r="M110" s="6">
        <v>2300.0</v>
      </c>
      <c r="O110" s="7">
        <f t="shared" si="13"/>
        <v>2194.2</v>
      </c>
    </row>
    <row r="111">
      <c r="A111" s="6">
        <v>2025.0</v>
      </c>
      <c r="B111" s="6" t="s">
        <v>152</v>
      </c>
      <c r="C111" s="1" t="s">
        <v>205</v>
      </c>
      <c r="F111" s="6" t="s">
        <v>213</v>
      </c>
      <c r="G111" s="6" t="s">
        <v>218</v>
      </c>
      <c r="H111" s="6" t="s">
        <v>280</v>
      </c>
      <c r="I111" s="6" t="s">
        <v>213</v>
      </c>
      <c r="J111" s="6">
        <v>420.0</v>
      </c>
      <c r="M111" s="6">
        <v>8580.0</v>
      </c>
      <c r="O111" s="7">
        <f t="shared" si="13"/>
        <v>3603.6</v>
      </c>
    </row>
    <row r="112">
      <c r="A112" s="6">
        <v>2025.0</v>
      </c>
      <c r="B112" s="6" t="s">
        <v>152</v>
      </c>
      <c r="C112" s="1" t="s">
        <v>205</v>
      </c>
      <c r="F112" s="6" t="s">
        <v>213</v>
      </c>
      <c r="G112" s="6" t="s">
        <v>218</v>
      </c>
      <c r="H112" s="6" t="s">
        <v>268</v>
      </c>
      <c r="I112" s="6" t="s">
        <v>213</v>
      </c>
      <c r="J112" s="6">
        <v>498.0</v>
      </c>
      <c r="M112" s="3">
        <v>4480.0</v>
      </c>
      <c r="O112" s="7">
        <f t="shared" si="13"/>
        <v>2231.04</v>
      </c>
    </row>
    <row r="113">
      <c r="A113" s="6">
        <v>2025.0</v>
      </c>
      <c r="B113" s="6" t="s">
        <v>152</v>
      </c>
      <c r="C113" s="1" t="s">
        <v>205</v>
      </c>
      <c r="F113" s="6" t="s">
        <v>213</v>
      </c>
      <c r="G113" s="6" t="s">
        <v>218</v>
      </c>
      <c r="H113" s="6" t="s">
        <v>241</v>
      </c>
      <c r="I113" s="6" t="s">
        <v>213</v>
      </c>
      <c r="J113" s="6">
        <v>788.0</v>
      </c>
      <c r="K113" s="6"/>
      <c r="M113" s="6">
        <v>5180.0</v>
      </c>
      <c r="O113" s="7">
        <f t="shared" si="13"/>
        <v>4081.84</v>
      </c>
    </row>
    <row r="114">
      <c r="A114" s="6">
        <v>2025.0</v>
      </c>
      <c r="B114" s="6" t="s">
        <v>152</v>
      </c>
      <c r="C114" s="1" t="s">
        <v>205</v>
      </c>
      <c r="F114" s="6" t="s">
        <v>213</v>
      </c>
      <c r="G114" s="6" t="s">
        <v>207</v>
      </c>
      <c r="H114" s="6" t="s">
        <v>281</v>
      </c>
      <c r="I114" s="6" t="s">
        <v>154</v>
      </c>
      <c r="J114" s="6">
        <v>6000.0</v>
      </c>
      <c r="L114" s="6">
        <v>1.0</v>
      </c>
      <c r="M114" s="6">
        <v>20990.0</v>
      </c>
      <c r="O114" s="13">
        <f t="shared" ref="O114:O121" si="14">M114*L114</f>
        <v>20990</v>
      </c>
    </row>
    <row r="115">
      <c r="A115" s="6">
        <v>2025.0</v>
      </c>
      <c r="B115" s="6" t="s">
        <v>152</v>
      </c>
      <c r="C115" s="1" t="s">
        <v>205</v>
      </c>
      <c r="F115" s="6" t="s">
        <v>213</v>
      </c>
      <c r="G115" s="6" t="s">
        <v>270</v>
      </c>
      <c r="H115" s="6" t="s">
        <v>282</v>
      </c>
      <c r="I115" s="6" t="s">
        <v>78</v>
      </c>
      <c r="J115" s="6">
        <v>650.0</v>
      </c>
      <c r="L115" s="6">
        <v>1.0</v>
      </c>
      <c r="M115" s="6">
        <v>8850.0</v>
      </c>
      <c r="O115" s="13">
        <f t="shared" si="14"/>
        <v>8850</v>
      </c>
    </row>
    <row r="116">
      <c r="A116" s="6">
        <v>2025.0</v>
      </c>
      <c r="B116" s="6" t="s">
        <v>152</v>
      </c>
      <c r="C116" s="1" t="s">
        <v>205</v>
      </c>
      <c r="F116" s="6" t="s">
        <v>213</v>
      </c>
      <c r="G116" s="6" t="s">
        <v>275</v>
      </c>
      <c r="H116" s="6" t="s">
        <v>275</v>
      </c>
      <c r="I116" s="6" t="s">
        <v>111</v>
      </c>
      <c r="J116" s="6">
        <v>1000.0</v>
      </c>
      <c r="L116" s="6">
        <v>1.0</v>
      </c>
      <c r="M116" s="6">
        <v>2650.0</v>
      </c>
      <c r="O116" s="7">
        <f t="shared" si="14"/>
        <v>2650</v>
      </c>
      <c r="P116" s="7"/>
    </row>
    <row r="117">
      <c r="A117" s="6">
        <v>2025.0</v>
      </c>
      <c r="B117" s="6" t="s">
        <v>152</v>
      </c>
      <c r="C117" s="1" t="s">
        <v>205</v>
      </c>
      <c r="F117" s="6" t="s">
        <v>213</v>
      </c>
      <c r="G117" s="6" t="s">
        <v>232</v>
      </c>
      <c r="H117" s="6" t="s">
        <v>234</v>
      </c>
      <c r="I117" s="6" t="s">
        <v>39</v>
      </c>
      <c r="J117" s="6">
        <v>500.0</v>
      </c>
      <c r="K117" s="6"/>
      <c r="L117" s="6">
        <v>1.0</v>
      </c>
      <c r="M117" s="6">
        <v>4390.0</v>
      </c>
      <c r="O117" s="7">
        <f t="shared" si="14"/>
        <v>4390</v>
      </c>
    </row>
    <row r="118">
      <c r="A118" s="6">
        <v>2025.0</v>
      </c>
      <c r="B118" s="6" t="s">
        <v>152</v>
      </c>
      <c r="C118" s="1" t="s">
        <v>205</v>
      </c>
      <c r="F118" s="6" t="s">
        <v>213</v>
      </c>
      <c r="G118" s="6" t="s">
        <v>223</v>
      </c>
      <c r="H118" s="6" t="s">
        <v>224</v>
      </c>
      <c r="I118" s="6" t="s">
        <v>43</v>
      </c>
      <c r="J118" s="6">
        <v>400.0</v>
      </c>
      <c r="K118" s="6"/>
      <c r="L118" s="6">
        <v>1.0</v>
      </c>
      <c r="M118" s="6">
        <v>21990.0</v>
      </c>
      <c r="O118" s="7">
        <f t="shared" si="14"/>
        <v>21990</v>
      </c>
    </row>
    <row r="119">
      <c r="A119" s="6">
        <v>2025.0</v>
      </c>
      <c r="B119" s="6" t="s">
        <v>152</v>
      </c>
      <c r="C119" s="1" t="s">
        <v>205</v>
      </c>
      <c r="F119" s="6" t="s">
        <v>213</v>
      </c>
      <c r="G119" s="6" t="s">
        <v>283</v>
      </c>
      <c r="H119" s="6" t="s">
        <v>276</v>
      </c>
      <c r="J119" s="6">
        <v>55.0</v>
      </c>
      <c r="L119" s="6">
        <v>1.0</v>
      </c>
      <c r="M119" s="6">
        <v>1990.0</v>
      </c>
      <c r="O119" s="7">
        <f t="shared" si="14"/>
        <v>1990</v>
      </c>
    </row>
    <row r="120">
      <c r="A120" s="6">
        <v>2025.0</v>
      </c>
      <c r="B120" s="6" t="s">
        <v>152</v>
      </c>
      <c r="C120" s="1" t="s">
        <v>205</v>
      </c>
      <c r="F120" s="6" t="s">
        <v>213</v>
      </c>
      <c r="G120" s="6" t="s">
        <v>232</v>
      </c>
      <c r="H120" s="6" t="s">
        <v>233</v>
      </c>
      <c r="I120" s="6" t="s">
        <v>39</v>
      </c>
      <c r="J120" s="6">
        <v>500.0</v>
      </c>
      <c r="K120" s="6"/>
      <c r="L120" s="6">
        <v>1.0</v>
      </c>
      <c r="M120" s="6">
        <v>3550.0</v>
      </c>
      <c r="O120" s="7">
        <f t="shared" si="14"/>
        <v>3550</v>
      </c>
    </row>
    <row r="121">
      <c r="A121" s="6">
        <v>2025.0</v>
      </c>
      <c r="B121" s="6" t="s">
        <v>152</v>
      </c>
      <c r="C121" s="1" t="s">
        <v>205</v>
      </c>
      <c r="F121" s="6" t="s">
        <v>213</v>
      </c>
      <c r="G121" s="6" t="s">
        <v>214</v>
      </c>
      <c r="H121" s="6" t="s">
        <v>215</v>
      </c>
      <c r="I121" s="6" t="s">
        <v>213</v>
      </c>
      <c r="J121" s="6">
        <v>1800.0</v>
      </c>
      <c r="K121" s="6"/>
      <c r="L121" s="6">
        <v>1.0</v>
      </c>
      <c r="M121" s="6">
        <v>14350.0</v>
      </c>
      <c r="O121" s="7">
        <f t="shared" si="14"/>
        <v>14350</v>
      </c>
    </row>
    <row r="122">
      <c r="A122" s="24" t="s">
        <v>204</v>
      </c>
      <c r="B122" s="24"/>
      <c r="C122" s="24"/>
      <c r="D122" s="24"/>
      <c r="E122" s="24"/>
      <c r="F122" s="25"/>
      <c r="G122" s="25"/>
      <c r="H122" s="25"/>
      <c r="I122" s="25"/>
      <c r="J122" s="25"/>
      <c r="K122" s="25"/>
      <c r="L122" s="25"/>
      <c r="M122" s="25"/>
      <c r="N122" s="28" t="str">
        <f>CHANGE(O68,O122)</f>
        <v>#NAME?</v>
      </c>
      <c r="O122" s="26">
        <f>SUM(O92:O121)</f>
        <v>351401.96</v>
      </c>
    </row>
    <row r="123">
      <c r="A123" s="6">
        <v>2025.0</v>
      </c>
      <c r="B123" s="6" t="s">
        <v>152</v>
      </c>
      <c r="C123" s="1" t="s">
        <v>284</v>
      </c>
      <c r="F123" s="6" t="s">
        <v>213</v>
      </c>
      <c r="G123" s="6" t="s">
        <v>220</v>
      </c>
      <c r="H123" s="6" t="s">
        <v>226</v>
      </c>
      <c r="I123" s="6" t="s">
        <v>213</v>
      </c>
      <c r="J123" s="6">
        <v>1374.0</v>
      </c>
      <c r="K123" s="6"/>
      <c r="M123" s="6">
        <v>15980.0</v>
      </c>
      <c r="O123" s="7">
        <f t="shared" ref="O123:O145" si="15">M123*J123/1000</f>
        <v>21956.52</v>
      </c>
    </row>
    <row r="124">
      <c r="A124" s="6">
        <v>2025.0</v>
      </c>
      <c r="B124" s="6" t="s">
        <v>152</v>
      </c>
      <c r="C124" s="1" t="s">
        <v>284</v>
      </c>
      <c r="F124" s="6" t="s">
        <v>213</v>
      </c>
      <c r="G124" s="6" t="s">
        <v>220</v>
      </c>
      <c r="H124" s="6" t="s">
        <v>228</v>
      </c>
      <c r="I124" s="6" t="s">
        <v>213</v>
      </c>
      <c r="J124" s="6">
        <v>1584.0</v>
      </c>
      <c r="K124" s="6"/>
      <c r="M124" s="6">
        <v>32580.0</v>
      </c>
      <c r="O124" s="7">
        <f t="shared" si="15"/>
        <v>51606.72</v>
      </c>
    </row>
    <row r="125">
      <c r="A125" s="6">
        <v>2025.0</v>
      </c>
      <c r="B125" s="6" t="s">
        <v>152</v>
      </c>
      <c r="C125" s="1" t="s">
        <v>284</v>
      </c>
      <c r="F125" s="6" t="s">
        <v>213</v>
      </c>
      <c r="G125" s="6" t="s">
        <v>220</v>
      </c>
      <c r="H125" s="6" t="s">
        <v>265</v>
      </c>
      <c r="I125" s="6" t="s">
        <v>213</v>
      </c>
      <c r="J125" s="3">
        <v>992.0</v>
      </c>
      <c r="M125" s="3">
        <v>15700.0</v>
      </c>
      <c r="O125" s="7">
        <f t="shared" si="15"/>
        <v>15574.4</v>
      </c>
    </row>
    <row r="126">
      <c r="A126" s="6">
        <v>2025.0</v>
      </c>
      <c r="B126" s="6" t="s">
        <v>152</v>
      </c>
      <c r="C126" s="1" t="s">
        <v>284</v>
      </c>
      <c r="F126" s="6" t="s">
        <v>213</v>
      </c>
      <c r="G126" s="6" t="s">
        <v>220</v>
      </c>
      <c r="H126" s="6" t="s">
        <v>278</v>
      </c>
      <c r="I126" s="6" t="s">
        <v>213</v>
      </c>
      <c r="J126" s="6">
        <v>1324.0</v>
      </c>
      <c r="M126" s="6">
        <v>26980.0</v>
      </c>
      <c r="O126" s="7">
        <f t="shared" si="15"/>
        <v>35721.52</v>
      </c>
    </row>
    <row r="127">
      <c r="A127" s="6">
        <v>2025.0</v>
      </c>
      <c r="B127" s="6" t="s">
        <v>152</v>
      </c>
      <c r="C127" s="1" t="s">
        <v>284</v>
      </c>
      <c r="F127" s="6" t="s">
        <v>213</v>
      </c>
      <c r="G127" s="6" t="s">
        <v>220</v>
      </c>
      <c r="H127" s="6" t="s">
        <v>266</v>
      </c>
      <c r="I127" s="6" t="s">
        <v>213</v>
      </c>
      <c r="J127" s="3">
        <v>1172.0</v>
      </c>
      <c r="L127" s="6"/>
      <c r="M127" s="3">
        <v>26380.0</v>
      </c>
      <c r="O127" s="7">
        <f t="shared" si="15"/>
        <v>30917.36</v>
      </c>
    </row>
    <row r="128">
      <c r="A128" s="6">
        <v>2025.0</v>
      </c>
      <c r="B128" s="6" t="s">
        <v>152</v>
      </c>
      <c r="C128" s="1" t="s">
        <v>284</v>
      </c>
      <c r="F128" s="6" t="s">
        <v>213</v>
      </c>
      <c r="G128" s="6" t="s">
        <v>220</v>
      </c>
      <c r="H128" s="6" t="s">
        <v>240</v>
      </c>
      <c r="I128" s="6" t="s">
        <v>213</v>
      </c>
      <c r="J128" s="6">
        <v>2715.0</v>
      </c>
      <c r="K128" s="6"/>
      <c r="M128" s="6">
        <v>10980.0</v>
      </c>
      <c r="O128" s="7">
        <f t="shared" si="15"/>
        <v>29810.7</v>
      </c>
    </row>
    <row r="129">
      <c r="A129" s="6">
        <v>2025.0</v>
      </c>
      <c r="B129" s="6" t="s">
        <v>152</v>
      </c>
      <c r="C129" s="1" t="s">
        <v>284</v>
      </c>
      <c r="F129" s="6" t="s">
        <v>213</v>
      </c>
      <c r="G129" s="6" t="s">
        <v>220</v>
      </c>
      <c r="H129" s="6" t="s">
        <v>274</v>
      </c>
      <c r="I129" s="6" t="s">
        <v>213</v>
      </c>
      <c r="J129" s="3">
        <v>995.0</v>
      </c>
      <c r="M129" s="3">
        <v>11980.0</v>
      </c>
      <c r="O129" s="7">
        <f t="shared" si="15"/>
        <v>11920.1</v>
      </c>
    </row>
    <row r="130">
      <c r="A130" s="6">
        <v>2025.0</v>
      </c>
      <c r="B130" s="6" t="s">
        <v>152</v>
      </c>
      <c r="C130" s="1" t="s">
        <v>284</v>
      </c>
      <c r="F130" s="6" t="s">
        <v>213</v>
      </c>
      <c r="G130" s="6" t="s">
        <v>218</v>
      </c>
      <c r="H130" s="6" t="s">
        <v>272</v>
      </c>
      <c r="I130" s="6" t="s">
        <v>213</v>
      </c>
      <c r="J130" s="3">
        <v>1365.0</v>
      </c>
      <c r="M130" s="3">
        <v>3880.0</v>
      </c>
      <c r="O130" s="7">
        <f t="shared" si="15"/>
        <v>5296.2</v>
      </c>
    </row>
    <row r="131">
      <c r="A131" s="6">
        <v>2025.0</v>
      </c>
      <c r="B131" s="6" t="s">
        <v>152</v>
      </c>
      <c r="C131" s="1" t="s">
        <v>284</v>
      </c>
      <c r="F131" s="6" t="s">
        <v>213</v>
      </c>
      <c r="G131" s="6" t="s">
        <v>216</v>
      </c>
      <c r="H131" s="6" t="s">
        <v>263</v>
      </c>
      <c r="I131" s="6" t="s">
        <v>213</v>
      </c>
      <c r="J131" s="3">
        <v>2560.0</v>
      </c>
      <c r="M131" s="3">
        <v>3380.0</v>
      </c>
      <c r="O131" s="7">
        <f t="shared" si="15"/>
        <v>8652.8</v>
      </c>
    </row>
    <row r="132">
      <c r="A132" s="6">
        <v>2025.0</v>
      </c>
      <c r="B132" s="6" t="s">
        <v>152</v>
      </c>
      <c r="C132" s="1" t="s">
        <v>284</v>
      </c>
      <c r="F132" s="6" t="s">
        <v>213</v>
      </c>
      <c r="G132" s="6" t="s">
        <v>218</v>
      </c>
      <c r="H132" s="6" t="s">
        <v>239</v>
      </c>
      <c r="I132" s="6" t="s">
        <v>213</v>
      </c>
      <c r="J132" s="6">
        <v>1410.0</v>
      </c>
      <c r="K132" s="6"/>
      <c r="M132" s="6">
        <v>2780.0</v>
      </c>
      <c r="O132" s="7">
        <f t="shared" si="15"/>
        <v>3919.8</v>
      </c>
    </row>
    <row r="133">
      <c r="A133" s="6">
        <v>2025.0</v>
      </c>
      <c r="B133" s="6" t="s">
        <v>152</v>
      </c>
      <c r="C133" s="1" t="s">
        <v>284</v>
      </c>
      <c r="F133" s="6" t="s">
        <v>213</v>
      </c>
      <c r="G133" s="6" t="s">
        <v>218</v>
      </c>
      <c r="H133" s="6" t="s">
        <v>285</v>
      </c>
      <c r="I133" s="6" t="s">
        <v>213</v>
      </c>
      <c r="J133" s="6">
        <v>405.0</v>
      </c>
      <c r="M133" s="6">
        <v>3580.0</v>
      </c>
      <c r="O133" s="7">
        <f t="shared" si="15"/>
        <v>1449.9</v>
      </c>
    </row>
    <row r="134">
      <c r="A134" s="6">
        <v>2025.0</v>
      </c>
      <c r="B134" s="6" t="s">
        <v>152</v>
      </c>
      <c r="C134" s="1" t="s">
        <v>284</v>
      </c>
      <c r="F134" s="6" t="s">
        <v>213</v>
      </c>
      <c r="G134" s="6" t="s">
        <v>218</v>
      </c>
      <c r="H134" s="6" t="s">
        <v>286</v>
      </c>
      <c r="I134" s="6" t="s">
        <v>213</v>
      </c>
      <c r="J134" s="6">
        <v>965.0</v>
      </c>
      <c r="M134" s="6">
        <v>4580.0</v>
      </c>
      <c r="O134" s="7">
        <f t="shared" si="15"/>
        <v>4419.7</v>
      </c>
    </row>
    <row r="135">
      <c r="A135" s="6">
        <v>2025.0</v>
      </c>
      <c r="B135" s="6" t="s">
        <v>152</v>
      </c>
      <c r="C135" s="1" t="s">
        <v>284</v>
      </c>
      <c r="F135" s="6" t="s">
        <v>213</v>
      </c>
      <c r="G135" s="6" t="s">
        <v>218</v>
      </c>
      <c r="H135" s="6" t="s">
        <v>268</v>
      </c>
      <c r="I135" s="6" t="s">
        <v>213</v>
      </c>
      <c r="J135" s="6">
        <v>880.0</v>
      </c>
      <c r="M135" s="3">
        <v>4000.0</v>
      </c>
      <c r="O135" s="7">
        <f t="shared" si="15"/>
        <v>3520</v>
      </c>
    </row>
    <row r="136">
      <c r="A136" s="6">
        <v>2025.0</v>
      </c>
      <c r="B136" s="6" t="s">
        <v>152</v>
      </c>
      <c r="C136" s="1" t="s">
        <v>284</v>
      </c>
      <c r="F136" s="6" t="s">
        <v>213</v>
      </c>
      <c r="G136" s="16" t="s">
        <v>218</v>
      </c>
      <c r="H136" s="16" t="s">
        <v>238</v>
      </c>
      <c r="I136" s="16" t="s">
        <v>213</v>
      </c>
      <c r="J136" s="29">
        <v>530.0</v>
      </c>
      <c r="K136" s="16"/>
      <c r="L136" s="16"/>
      <c r="M136" s="29">
        <v>3380.0</v>
      </c>
      <c r="N136" s="16"/>
      <c r="O136" s="9">
        <f t="shared" si="15"/>
        <v>1791.4</v>
      </c>
    </row>
    <row r="137">
      <c r="A137" s="6">
        <v>2025.0</v>
      </c>
      <c r="B137" s="6" t="s">
        <v>152</v>
      </c>
      <c r="C137" s="1" t="s">
        <v>284</v>
      </c>
      <c r="F137" s="6" t="s">
        <v>213</v>
      </c>
      <c r="G137" s="16" t="s">
        <v>218</v>
      </c>
      <c r="H137" s="16" t="s">
        <v>238</v>
      </c>
      <c r="I137" s="16" t="s">
        <v>213</v>
      </c>
      <c r="J137" s="29">
        <v>630.0</v>
      </c>
      <c r="K137" s="16"/>
      <c r="L137" s="16"/>
      <c r="M137" s="29">
        <v>3380.0</v>
      </c>
      <c r="N137" s="16"/>
      <c r="O137" s="9">
        <f t="shared" si="15"/>
        <v>2129.4</v>
      </c>
    </row>
    <row r="138">
      <c r="A138" s="6">
        <v>2025.0</v>
      </c>
      <c r="B138" s="6" t="s">
        <v>152</v>
      </c>
      <c r="C138" s="1" t="s">
        <v>284</v>
      </c>
      <c r="F138" s="6" t="s">
        <v>213</v>
      </c>
      <c r="G138" s="6" t="s">
        <v>218</v>
      </c>
      <c r="H138" s="6" t="s">
        <v>230</v>
      </c>
      <c r="I138" s="6" t="s">
        <v>213</v>
      </c>
      <c r="J138" s="6">
        <v>3455.0</v>
      </c>
      <c r="K138" s="6"/>
      <c r="M138" s="6">
        <v>3380.0</v>
      </c>
      <c r="O138" s="7">
        <f t="shared" si="15"/>
        <v>11677.9</v>
      </c>
    </row>
    <row r="139">
      <c r="A139" s="6">
        <v>2025.0</v>
      </c>
      <c r="B139" s="6" t="s">
        <v>152</v>
      </c>
      <c r="C139" s="1" t="s">
        <v>284</v>
      </c>
      <c r="F139" s="6" t="s">
        <v>213</v>
      </c>
      <c r="G139" s="6" t="s">
        <v>218</v>
      </c>
      <c r="H139" s="6" t="s">
        <v>287</v>
      </c>
      <c r="I139" s="6" t="s">
        <v>213</v>
      </c>
      <c r="J139" s="6">
        <v>225.0</v>
      </c>
      <c r="M139" s="6">
        <v>5980.0</v>
      </c>
      <c r="O139" s="7">
        <f t="shared" si="15"/>
        <v>1345.5</v>
      </c>
    </row>
    <row r="140">
      <c r="A140" s="6">
        <v>2025.0</v>
      </c>
      <c r="B140" s="6" t="s">
        <v>152</v>
      </c>
      <c r="C140" s="1" t="s">
        <v>284</v>
      </c>
      <c r="F140" s="6" t="s">
        <v>213</v>
      </c>
      <c r="G140" s="6" t="s">
        <v>218</v>
      </c>
      <c r="H140" s="6" t="s">
        <v>241</v>
      </c>
      <c r="I140" s="6" t="s">
        <v>213</v>
      </c>
      <c r="J140" s="6">
        <v>1070.0</v>
      </c>
      <c r="K140" s="6"/>
      <c r="M140" s="6">
        <v>5980.0</v>
      </c>
      <c r="O140" s="7">
        <f t="shared" si="15"/>
        <v>6398.6</v>
      </c>
    </row>
    <row r="141">
      <c r="A141" s="6">
        <v>2025.0</v>
      </c>
      <c r="B141" s="6" t="s">
        <v>152</v>
      </c>
      <c r="C141" s="1" t="s">
        <v>284</v>
      </c>
      <c r="F141" s="6" t="s">
        <v>213</v>
      </c>
      <c r="G141" s="6" t="s">
        <v>218</v>
      </c>
      <c r="H141" s="6" t="s">
        <v>242</v>
      </c>
      <c r="I141" s="6" t="s">
        <v>213</v>
      </c>
      <c r="J141" s="6">
        <v>3365.0</v>
      </c>
      <c r="K141" s="6"/>
      <c r="M141" s="6">
        <v>4980.0</v>
      </c>
      <c r="O141" s="7">
        <f t="shared" si="15"/>
        <v>16757.7</v>
      </c>
    </row>
    <row r="142">
      <c r="A142" s="6">
        <v>2025.0</v>
      </c>
      <c r="B142" s="6" t="s">
        <v>152</v>
      </c>
      <c r="C142" s="1" t="s">
        <v>284</v>
      </c>
      <c r="F142" s="6" t="s">
        <v>213</v>
      </c>
      <c r="G142" s="6" t="s">
        <v>218</v>
      </c>
      <c r="H142" s="6" t="s">
        <v>237</v>
      </c>
      <c r="I142" s="6" t="s">
        <v>213</v>
      </c>
      <c r="J142" s="6">
        <v>1710.0</v>
      </c>
      <c r="K142" s="6"/>
      <c r="M142" s="6">
        <v>1580.0</v>
      </c>
      <c r="O142" s="7">
        <f t="shared" si="15"/>
        <v>2701.8</v>
      </c>
    </row>
    <row r="143">
      <c r="A143" s="6">
        <v>2025.0</v>
      </c>
      <c r="B143" s="6" t="s">
        <v>152</v>
      </c>
      <c r="C143" s="1" t="s">
        <v>284</v>
      </c>
      <c r="F143" s="6" t="s">
        <v>213</v>
      </c>
      <c r="G143" s="6" t="s">
        <v>218</v>
      </c>
      <c r="H143" s="6" t="s">
        <v>280</v>
      </c>
      <c r="I143" s="6" t="s">
        <v>213</v>
      </c>
      <c r="J143" s="6">
        <v>475.0</v>
      </c>
      <c r="M143" s="6">
        <v>8580.0</v>
      </c>
      <c r="O143" s="7">
        <f t="shared" si="15"/>
        <v>4075.5</v>
      </c>
    </row>
    <row r="144">
      <c r="A144" s="6">
        <v>2025.0</v>
      </c>
      <c r="B144" s="6" t="s">
        <v>152</v>
      </c>
      <c r="C144" s="1" t="s">
        <v>284</v>
      </c>
      <c r="F144" s="6" t="s">
        <v>213</v>
      </c>
      <c r="G144" s="6" t="s">
        <v>216</v>
      </c>
      <c r="H144" s="6" t="s">
        <v>217</v>
      </c>
      <c r="I144" s="6" t="s">
        <v>213</v>
      </c>
      <c r="J144" s="6">
        <v>935.0</v>
      </c>
      <c r="K144" s="6"/>
      <c r="M144" s="6">
        <v>10000.0</v>
      </c>
      <c r="O144" s="7">
        <f t="shared" si="15"/>
        <v>9350</v>
      </c>
    </row>
    <row r="145">
      <c r="A145" s="6">
        <v>2025.0</v>
      </c>
      <c r="B145" s="6" t="s">
        <v>152</v>
      </c>
      <c r="C145" s="1" t="s">
        <v>284</v>
      </c>
      <c r="F145" s="6" t="s">
        <v>213</v>
      </c>
      <c r="G145" s="6" t="s">
        <v>216</v>
      </c>
      <c r="H145" s="6" t="s">
        <v>236</v>
      </c>
      <c r="I145" s="6" t="s">
        <v>213</v>
      </c>
      <c r="J145" s="6">
        <v>490.0</v>
      </c>
      <c r="K145" s="6"/>
      <c r="M145" s="6">
        <v>3580.0</v>
      </c>
      <c r="O145" s="7">
        <f t="shared" si="15"/>
        <v>1754.2</v>
      </c>
    </row>
    <row r="146">
      <c r="A146" s="6">
        <v>2025.0</v>
      </c>
      <c r="B146" s="6" t="s">
        <v>152</v>
      </c>
      <c r="C146" s="1" t="s">
        <v>284</v>
      </c>
      <c r="F146" s="6" t="s">
        <v>213</v>
      </c>
      <c r="G146" s="6" t="s">
        <v>288</v>
      </c>
      <c r="H146" s="6" t="s">
        <v>289</v>
      </c>
      <c r="I146" s="6" t="s">
        <v>213</v>
      </c>
      <c r="L146" s="6">
        <v>1.0</v>
      </c>
      <c r="M146" s="6">
        <v>650.0</v>
      </c>
      <c r="O146" s="13">
        <f>L146*M146</f>
        <v>650</v>
      </c>
    </row>
    <row r="147">
      <c r="A147" s="6">
        <v>2025.0</v>
      </c>
      <c r="B147" s="6" t="s">
        <v>152</v>
      </c>
      <c r="C147" s="1" t="s">
        <v>284</v>
      </c>
      <c r="F147" s="6" t="s">
        <v>213</v>
      </c>
      <c r="G147" s="6" t="s">
        <v>218</v>
      </c>
      <c r="H147" s="6" t="s">
        <v>243</v>
      </c>
      <c r="I147" s="6" t="s">
        <v>213</v>
      </c>
      <c r="J147" s="6">
        <v>1040.0</v>
      </c>
      <c r="K147" s="6"/>
      <c r="M147" s="6">
        <v>3580.0</v>
      </c>
      <c r="O147" s="7">
        <f>M147*J147/1000</f>
        <v>3723.2</v>
      </c>
    </row>
    <row r="148">
      <c r="A148" s="6">
        <v>2025.0</v>
      </c>
      <c r="B148" s="6" t="s">
        <v>152</v>
      </c>
      <c r="C148" s="1" t="s">
        <v>284</v>
      </c>
      <c r="F148" s="6" t="s">
        <v>213</v>
      </c>
      <c r="G148" s="6" t="s">
        <v>270</v>
      </c>
      <c r="H148" s="6" t="s">
        <v>290</v>
      </c>
      <c r="I148" s="6" t="s">
        <v>156</v>
      </c>
      <c r="J148" s="6">
        <v>500.0</v>
      </c>
      <c r="L148" s="6">
        <v>2.0</v>
      </c>
      <c r="M148" s="6">
        <v>1500.0</v>
      </c>
      <c r="O148" s="13">
        <f>L148*M148</f>
        <v>3000</v>
      </c>
    </row>
    <row r="149">
      <c r="A149" s="6">
        <v>2025.0</v>
      </c>
      <c r="B149" s="6" t="s">
        <v>152</v>
      </c>
      <c r="C149" s="1" t="s">
        <v>284</v>
      </c>
      <c r="F149" s="6" t="s">
        <v>213</v>
      </c>
      <c r="G149" s="14" t="s">
        <v>223</v>
      </c>
      <c r="H149" s="16" t="s">
        <v>224</v>
      </c>
      <c r="I149" s="16" t="s">
        <v>43</v>
      </c>
      <c r="J149" s="17">
        <v>400.0</v>
      </c>
      <c r="K149" s="16"/>
      <c r="L149" s="17">
        <v>1.0</v>
      </c>
      <c r="M149" s="29">
        <v>21900.0</v>
      </c>
      <c r="N149" s="16"/>
      <c r="O149" s="9">
        <f t="shared" ref="O149:O155" si="16">M149*L149</f>
        <v>21900</v>
      </c>
    </row>
    <row r="150">
      <c r="A150" s="6">
        <v>2025.0</v>
      </c>
      <c r="B150" s="6" t="s">
        <v>152</v>
      </c>
      <c r="C150" s="1" t="s">
        <v>284</v>
      </c>
      <c r="F150" s="6" t="s">
        <v>213</v>
      </c>
      <c r="G150" s="6" t="s">
        <v>232</v>
      </c>
      <c r="H150" s="6" t="s">
        <v>235</v>
      </c>
      <c r="I150" s="6" t="s">
        <v>39</v>
      </c>
      <c r="J150" s="6">
        <v>500.0</v>
      </c>
      <c r="K150" s="6"/>
      <c r="L150" s="6">
        <v>1.0</v>
      </c>
      <c r="M150" s="6">
        <v>3590.0</v>
      </c>
      <c r="O150" s="7">
        <f t="shared" si="16"/>
        <v>3590</v>
      </c>
    </row>
    <row r="151">
      <c r="A151" s="6">
        <v>2025.0</v>
      </c>
      <c r="B151" s="6" t="s">
        <v>152</v>
      </c>
      <c r="C151" s="1" t="s">
        <v>284</v>
      </c>
      <c r="F151" s="6" t="s">
        <v>213</v>
      </c>
      <c r="G151" s="6" t="s">
        <v>270</v>
      </c>
      <c r="H151" s="6" t="s">
        <v>271</v>
      </c>
      <c r="I151" s="6" t="s">
        <v>78</v>
      </c>
      <c r="J151" s="6">
        <v>650.0</v>
      </c>
      <c r="L151" s="6">
        <v>1.0</v>
      </c>
      <c r="M151" s="6">
        <v>8850.0</v>
      </c>
      <c r="O151" s="7">
        <f t="shared" si="16"/>
        <v>8850</v>
      </c>
    </row>
    <row r="152">
      <c r="A152" s="6">
        <v>2025.0</v>
      </c>
      <c r="B152" s="6" t="s">
        <v>152</v>
      </c>
      <c r="C152" s="1" t="s">
        <v>284</v>
      </c>
      <c r="F152" s="6" t="s">
        <v>213</v>
      </c>
      <c r="G152" s="6" t="s">
        <v>214</v>
      </c>
      <c r="H152" s="6" t="s">
        <v>215</v>
      </c>
      <c r="I152" s="6" t="s">
        <v>213</v>
      </c>
      <c r="J152" s="6">
        <v>900.0</v>
      </c>
      <c r="K152" s="6"/>
      <c r="L152" s="6">
        <v>1.0</v>
      </c>
      <c r="M152" s="6">
        <v>7200.0</v>
      </c>
      <c r="O152" s="7">
        <f t="shared" si="16"/>
        <v>7200</v>
      </c>
    </row>
    <row r="153">
      <c r="A153" s="6">
        <v>2025.0</v>
      </c>
      <c r="B153" s="6" t="s">
        <v>152</v>
      </c>
      <c r="C153" s="1" t="s">
        <v>284</v>
      </c>
      <c r="F153" s="6" t="s">
        <v>213</v>
      </c>
      <c r="G153" s="6" t="s">
        <v>207</v>
      </c>
      <c r="H153" s="6" t="s">
        <v>291</v>
      </c>
      <c r="I153" s="6" t="s">
        <v>158</v>
      </c>
      <c r="J153" s="6">
        <v>125.0</v>
      </c>
      <c r="L153" s="6">
        <v>1.0</v>
      </c>
      <c r="M153" s="6">
        <v>7600.0</v>
      </c>
      <c r="O153" s="7">
        <f t="shared" si="16"/>
        <v>7600</v>
      </c>
    </row>
    <row r="154">
      <c r="A154" s="6">
        <v>2025.0</v>
      </c>
      <c r="B154" s="6" t="s">
        <v>152</v>
      </c>
      <c r="C154" s="1" t="s">
        <v>284</v>
      </c>
      <c r="F154" s="6" t="s">
        <v>213</v>
      </c>
      <c r="G154" s="6" t="s">
        <v>207</v>
      </c>
      <c r="H154" s="6" t="s">
        <v>292</v>
      </c>
      <c r="I154" s="6" t="s">
        <v>159</v>
      </c>
      <c r="J154" s="6">
        <v>1300.0</v>
      </c>
      <c r="L154" s="6">
        <v>1.0</v>
      </c>
      <c r="M154" s="6">
        <v>36550.0</v>
      </c>
      <c r="O154" s="7">
        <f t="shared" si="16"/>
        <v>36550</v>
      </c>
    </row>
    <row r="155">
      <c r="A155" s="6">
        <v>2025.0</v>
      </c>
      <c r="B155" s="6" t="s">
        <v>152</v>
      </c>
      <c r="C155" s="1" t="s">
        <v>284</v>
      </c>
      <c r="F155" s="6" t="s">
        <v>213</v>
      </c>
      <c r="G155" s="6" t="s">
        <v>232</v>
      </c>
      <c r="H155" s="6" t="s">
        <v>293</v>
      </c>
      <c r="I155" s="6" t="s">
        <v>39</v>
      </c>
      <c r="J155" s="6">
        <v>500.0</v>
      </c>
      <c r="L155" s="6">
        <v>1.0</v>
      </c>
      <c r="M155" s="6">
        <v>3190.0</v>
      </c>
      <c r="O155" s="7">
        <f t="shared" si="16"/>
        <v>3190</v>
      </c>
    </row>
    <row r="156">
      <c r="A156" s="24" t="s">
        <v>204</v>
      </c>
      <c r="B156" s="24"/>
      <c r="C156" s="24"/>
      <c r="D156" s="24"/>
      <c r="E156" s="24"/>
      <c r="F156" s="25"/>
      <c r="G156" s="25"/>
      <c r="H156" s="25"/>
      <c r="I156" s="25"/>
      <c r="J156" s="25"/>
      <c r="K156" s="25"/>
      <c r="L156" s="25"/>
      <c r="M156" s="25"/>
      <c r="N156" s="28" t="str">
        <f>CHANGE(O102,O156)</f>
        <v>#NAME?</v>
      </c>
      <c r="O156" s="26">
        <f>SUM(O123:O155)</f>
        <v>379000.92</v>
      </c>
    </row>
    <row r="157">
      <c r="A157" s="6">
        <v>2025.0</v>
      </c>
      <c r="B157" s="6" t="s">
        <v>152</v>
      </c>
      <c r="C157" s="1" t="s">
        <v>205</v>
      </c>
      <c r="F157" s="6" t="s">
        <v>206</v>
      </c>
      <c r="G157" s="6" t="s">
        <v>294</v>
      </c>
      <c r="H157" s="6" t="s">
        <v>258</v>
      </c>
      <c r="L157" s="6">
        <v>1.0</v>
      </c>
      <c r="M157" s="6">
        <v>4750.0</v>
      </c>
      <c r="O157" s="7">
        <f t="shared" ref="O157:O167" si="17">M157*L157</f>
        <v>4750</v>
      </c>
    </row>
    <row r="158">
      <c r="A158" s="6">
        <v>2025.0</v>
      </c>
      <c r="B158" s="6" t="s">
        <v>152</v>
      </c>
      <c r="C158" s="1" t="s">
        <v>205</v>
      </c>
      <c r="F158" s="6" t="s">
        <v>206</v>
      </c>
      <c r="G158" s="6" t="s">
        <v>294</v>
      </c>
      <c r="H158" s="6" t="s">
        <v>257</v>
      </c>
      <c r="L158" s="6">
        <v>1.0</v>
      </c>
      <c r="M158" s="15">
        <v>3790.0</v>
      </c>
      <c r="O158" s="7">
        <f t="shared" si="17"/>
        <v>3790</v>
      </c>
    </row>
    <row r="159">
      <c r="A159" s="6">
        <v>2025.0</v>
      </c>
      <c r="B159" s="6" t="s">
        <v>152</v>
      </c>
      <c r="C159" s="1" t="s">
        <v>205</v>
      </c>
      <c r="F159" s="6" t="s">
        <v>206</v>
      </c>
      <c r="G159" s="6" t="s">
        <v>207</v>
      </c>
      <c r="H159" s="6" t="s">
        <v>261</v>
      </c>
      <c r="L159" s="6">
        <v>1.0</v>
      </c>
      <c r="M159" s="6">
        <v>7990.0</v>
      </c>
      <c r="O159" s="7">
        <f t="shared" si="17"/>
        <v>7990</v>
      </c>
    </row>
    <row r="160">
      <c r="A160" s="6">
        <v>2025.0</v>
      </c>
      <c r="B160" s="6" t="s">
        <v>152</v>
      </c>
      <c r="C160" s="1" t="s">
        <v>205</v>
      </c>
      <c r="F160" s="6" t="s">
        <v>206</v>
      </c>
      <c r="G160" s="6" t="s">
        <v>220</v>
      </c>
      <c r="H160" s="6" t="s">
        <v>255</v>
      </c>
      <c r="L160" s="6">
        <v>1.0</v>
      </c>
      <c r="M160" s="15">
        <v>8700.0</v>
      </c>
      <c r="O160" s="7">
        <f t="shared" si="17"/>
        <v>8700</v>
      </c>
    </row>
    <row r="161">
      <c r="A161" s="6">
        <v>2025.0</v>
      </c>
      <c r="B161" s="6" t="s">
        <v>152</v>
      </c>
      <c r="C161" s="1" t="s">
        <v>205</v>
      </c>
      <c r="F161" s="6" t="s">
        <v>206</v>
      </c>
      <c r="G161" s="6" t="s">
        <v>220</v>
      </c>
      <c r="H161" s="6" t="s">
        <v>295</v>
      </c>
      <c r="L161" s="6">
        <v>1.0</v>
      </c>
      <c r="M161" s="6">
        <v>11990.0</v>
      </c>
      <c r="O161" s="7">
        <f t="shared" si="17"/>
        <v>11990</v>
      </c>
    </row>
    <row r="162">
      <c r="A162" s="6">
        <v>2025.0</v>
      </c>
      <c r="B162" s="6" t="s">
        <v>152</v>
      </c>
      <c r="C162" s="1" t="s">
        <v>205</v>
      </c>
      <c r="F162" s="6" t="s">
        <v>206</v>
      </c>
      <c r="G162" s="6" t="s">
        <v>296</v>
      </c>
      <c r="H162" s="6" t="s">
        <v>297</v>
      </c>
      <c r="L162" s="6">
        <v>1.0</v>
      </c>
      <c r="M162" s="6">
        <v>4250.0</v>
      </c>
      <c r="O162" s="7">
        <f t="shared" si="17"/>
        <v>4250</v>
      </c>
    </row>
    <row r="163">
      <c r="A163" s="6">
        <v>2025.0</v>
      </c>
      <c r="B163" s="6" t="s">
        <v>152</v>
      </c>
      <c r="C163" s="1" t="s">
        <v>205</v>
      </c>
      <c r="F163" s="6" t="s">
        <v>206</v>
      </c>
      <c r="G163" s="6" t="s">
        <v>220</v>
      </c>
      <c r="H163" s="6" t="s">
        <v>298</v>
      </c>
      <c r="L163" s="6">
        <v>1.0</v>
      </c>
      <c r="M163" s="6">
        <v>7990.0</v>
      </c>
      <c r="O163" s="7">
        <f t="shared" si="17"/>
        <v>7990</v>
      </c>
    </row>
    <row r="164">
      <c r="A164" s="6">
        <v>2025.0</v>
      </c>
      <c r="B164" s="6" t="s">
        <v>152</v>
      </c>
      <c r="C164" s="1" t="s">
        <v>205</v>
      </c>
      <c r="F164" s="6" t="s">
        <v>206</v>
      </c>
      <c r="G164" s="6" t="s">
        <v>299</v>
      </c>
      <c r="H164" s="6" t="s">
        <v>254</v>
      </c>
      <c r="L164" s="6">
        <v>1.0</v>
      </c>
      <c r="M164" s="15">
        <v>5350.0</v>
      </c>
      <c r="O164" s="7">
        <f t="shared" si="17"/>
        <v>5350</v>
      </c>
    </row>
    <row r="165">
      <c r="A165" s="6">
        <v>2025.0</v>
      </c>
      <c r="B165" s="6" t="s">
        <v>152</v>
      </c>
      <c r="C165" s="1" t="s">
        <v>205</v>
      </c>
      <c r="F165" s="6" t="s">
        <v>206</v>
      </c>
      <c r="G165" s="6" t="s">
        <v>299</v>
      </c>
      <c r="H165" s="6" t="s">
        <v>250</v>
      </c>
      <c r="L165" s="6">
        <v>1.0</v>
      </c>
      <c r="M165" s="15">
        <v>2450.0</v>
      </c>
      <c r="O165" s="7">
        <f t="shared" si="17"/>
        <v>2450</v>
      </c>
    </row>
    <row r="166">
      <c r="A166" s="6">
        <v>2025.0</v>
      </c>
      <c r="B166" s="6" t="s">
        <v>152</v>
      </c>
      <c r="C166" s="1" t="s">
        <v>205</v>
      </c>
      <c r="F166" s="6" t="s">
        <v>206</v>
      </c>
      <c r="G166" s="6" t="s">
        <v>299</v>
      </c>
      <c r="H166" s="6" t="s">
        <v>300</v>
      </c>
      <c r="L166" s="6">
        <v>1.0</v>
      </c>
      <c r="M166" s="6">
        <v>2470.0</v>
      </c>
      <c r="O166" s="7">
        <f t="shared" si="17"/>
        <v>2470</v>
      </c>
    </row>
    <row r="167">
      <c r="A167" s="6">
        <v>2025.0</v>
      </c>
      <c r="B167" s="6" t="s">
        <v>152</v>
      </c>
      <c r="C167" s="1" t="s">
        <v>205</v>
      </c>
      <c r="F167" s="6" t="s">
        <v>206</v>
      </c>
      <c r="G167" s="6" t="s">
        <v>299</v>
      </c>
      <c r="H167" s="6" t="s">
        <v>301</v>
      </c>
      <c r="L167" s="6">
        <v>1.0</v>
      </c>
      <c r="M167" s="27">
        <v>4950.0</v>
      </c>
      <c r="O167" s="7">
        <f t="shared" si="17"/>
        <v>4950</v>
      </c>
    </row>
    <row r="168">
      <c r="A168" s="24" t="s">
        <v>204</v>
      </c>
      <c r="B168" s="24"/>
      <c r="C168" s="24"/>
      <c r="D168" s="24"/>
      <c r="E168" s="24"/>
      <c r="F168" s="25"/>
      <c r="G168" s="25"/>
      <c r="H168" s="25"/>
      <c r="I168" s="25"/>
      <c r="J168" s="25"/>
      <c r="K168" s="25"/>
      <c r="L168" s="25"/>
      <c r="M168" s="25"/>
      <c r="N168" s="28" t="str">
        <f>CHANGE(O114,O168)</f>
        <v>#NAME?</v>
      </c>
      <c r="O168" s="26">
        <f>SUM(O157:O167)</f>
        <v>64680</v>
      </c>
    </row>
    <row r="169">
      <c r="A169" s="6">
        <v>2025.0</v>
      </c>
      <c r="B169" s="6" t="s">
        <v>15</v>
      </c>
      <c r="C169" s="1" t="s">
        <v>284</v>
      </c>
      <c r="F169" s="6" t="s">
        <v>213</v>
      </c>
      <c r="G169" s="6" t="s">
        <v>207</v>
      </c>
      <c r="H169" s="6" t="s">
        <v>302</v>
      </c>
      <c r="I169" s="6" t="s">
        <v>66</v>
      </c>
      <c r="J169" s="6">
        <v>900.0</v>
      </c>
      <c r="L169" s="6">
        <v>4.0</v>
      </c>
      <c r="M169" s="6">
        <v>3390.0</v>
      </c>
      <c r="O169" s="7">
        <f>M169*L169</f>
        <v>13560</v>
      </c>
    </row>
    <row r="170">
      <c r="A170" s="6">
        <v>2025.0</v>
      </c>
      <c r="B170" s="6" t="s">
        <v>15</v>
      </c>
      <c r="C170" s="1" t="s">
        <v>284</v>
      </c>
      <c r="F170" s="6" t="s">
        <v>213</v>
      </c>
      <c r="G170" s="6" t="s">
        <v>220</v>
      </c>
      <c r="H170" s="6" t="s">
        <v>303</v>
      </c>
      <c r="I170" s="6" t="s">
        <v>213</v>
      </c>
      <c r="J170" s="6">
        <v>1042.0</v>
      </c>
      <c r="K170" s="6"/>
      <c r="L170" s="6">
        <v>1.0</v>
      </c>
      <c r="M170" s="6">
        <v>31980.0</v>
      </c>
      <c r="O170" s="7">
        <f t="shared" ref="O170:O183" si="18">M170*J170/1000</f>
        <v>33323.16</v>
      </c>
    </row>
    <row r="171">
      <c r="A171" s="6">
        <v>2025.0</v>
      </c>
      <c r="B171" s="6" t="s">
        <v>15</v>
      </c>
      <c r="C171" s="1" t="s">
        <v>284</v>
      </c>
      <c r="F171" s="6" t="s">
        <v>213</v>
      </c>
      <c r="G171" s="6" t="s">
        <v>220</v>
      </c>
      <c r="H171" s="6" t="s">
        <v>227</v>
      </c>
      <c r="I171" s="6" t="s">
        <v>213</v>
      </c>
      <c r="J171" s="3">
        <v>1130.0</v>
      </c>
      <c r="L171" s="6">
        <v>1.0</v>
      </c>
      <c r="M171" s="3">
        <v>28580.0</v>
      </c>
      <c r="O171" s="7">
        <f t="shared" si="18"/>
        <v>32295.4</v>
      </c>
    </row>
    <row r="172">
      <c r="A172" s="6">
        <v>2025.0</v>
      </c>
      <c r="B172" s="6" t="s">
        <v>15</v>
      </c>
      <c r="C172" s="1" t="s">
        <v>284</v>
      </c>
      <c r="F172" s="6" t="s">
        <v>213</v>
      </c>
      <c r="G172" s="6" t="s">
        <v>220</v>
      </c>
      <c r="H172" s="6" t="s">
        <v>265</v>
      </c>
      <c r="I172" s="6" t="s">
        <v>213</v>
      </c>
      <c r="J172" s="3">
        <v>1050.0</v>
      </c>
      <c r="L172" s="6">
        <v>1.0</v>
      </c>
      <c r="M172" s="3">
        <v>19400.0</v>
      </c>
      <c r="O172" s="7">
        <f t="shared" si="18"/>
        <v>20370</v>
      </c>
    </row>
    <row r="173">
      <c r="A173" s="6">
        <v>2025.0</v>
      </c>
      <c r="B173" s="6" t="s">
        <v>15</v>
      </c>
      <c r="C173" s="1" t="s">
        <v>284</v>
      </c>
      <c r="F173" s="6" t="s">
        <v>213</v>
      </c>
      <c r="G173" s="6" t="s">
        <v>220</v>
      </c>
      <c r="H173" s="6" t="s">
        <v>266</v>
      </c>
      <c r="I173" s="6" t="s">
        <v>213</v>
      </c>
      <c r="J173" s="3">
        <v>1086.0</v>
      </c>
      <c r="L173" s="6">
        <v>1.0</v>
      </c>
      <c r="M173" s="3">
        <v>25980.0</v>
      </c>
      <c r="O173" s="7">
        <f t="shared" si="18"/>
        <v>28214.28</v>
      </c>
    </row>
    <row r="174">
      <c r="A174" s="6">
        <v>2025.0</v>
      </c>
      <c r="B174" s="6" t="s">
        <v>15</v>
      </c>
      <c r="C174" s="1" t="s">
        <v>284</v>
      </c>
      <c r="F174" s="6" t="s">
        <v>213</v>
      </c>
      <c r="G174" s="6" t="s">
        <v>220</v>
      </c>
      <c r="H174" s="6" t="s">
        <v>226</v>
      </c>
      <c r="I174" s="6" t="s">
        <v>213</v>
      </c>
      <c r="J174" s="6">
        <v>778.0</v>
      </c>
      <c r="K174" s="6"/>
      <c r="L174" s="6">
        <v>1.0</v>
      </c>
      <c r="M174" s="6">
        <v>19000.0</v>
      </c>
      <c r="O174" s="7">
        <f t="shared" si="18"/>
        <v>14782</v>
      </c>
    </row>
    <row r="175">
      <c r="A175" s="6">
        <v>2025.0</v>
      </c>
      <c r="B175" s="6" t="s">
        <v>15</v>
      </c>
      <c r="C175" s="1" t="s">
        <v>284</v>
      </c>
      <c r="F175" s="6" t="s">
        <v>213</v>
      </c>
      <c r="G175" s="6" t="s">
        <v>220</v>
      </c>
      <c r="H175" s="6" t="s">
        <v>240</v>
      </c>
      <c r="I175" s="6" t="s">
        <v>213</v>
      </c>
      <c r="J175" s="6">
        <v>2865.0</v>
      </c>
      <c r="K175" s="6"/>
      <c r="L175" s="6">
        <v>1.0</v>
      </c>
      <c r="M175" s="6">
        <v>10980.0</v>
      </c>
      <c r="O175" s="7">
        <f t="shared" si="18"/>
        <v>31457.7</v>
      </c>
    </row>
    <row r="176">
      <c r="A176" s="6">
        <v>2025.0</v>
      </c>
      <c r="B176" s="6" t="s">
        <v>15</v>
      </c>
      <c r="C176" s="1" t="s">
        <v>284</v>
      </c>
      <c r="F176" s="6" t="s">
        <v>213</v>
      </c>
      <c r="G176" s="6" t="s">
        <v>220</v>
      </c>
      <c r="H176" s="6" t="s">
        <v>274</v>
      </c>
      <c r="I176" s="6" t="s">
        <v>213</v>
      </c>
      <c r="J176" s="3">
        <v>1175.0</v>
      </c>
      <c r="L176" s="6">
        <v>1.0</v>
      </c>
      <c r="M176" s="3">
        <v>14980.0</v>
      </c>
      <c r="O176" s="7">
        <f t="shared" si="18"/>
        <v>17601.5</v>
      </c>
    </row>
    <row r="177">
      <c r="A177" s="6">
        <v>2025.0</v>
      </c>
      <c r="B177" s="6" t="s">
        <v>15</v>
      </c>
      <c r="C177" s="1" t="s">
        <v>284</v>
      </c>
      <c r="F177" s="6" t="s">
        <v>213</v>
      </c>
      <c r="G177" s="6" t="s">
        <v>216</v>
      </c>
      <c r="H177" s="6" t="s">
        <v>263</v>
      </c>
      <c r="I177" s="6" t="s">
        <v>213</v>
      </c>
      <c r="J177" s="3">
        <v>2350.0</v>
      </c>
      <c r="L177" s="6">
        <v>1.0</v>
      </c>
      <c r="M177" s="3">
        <v>3100.0</v>
      </c>
      <c r="O177" s="7">
        <f t="shared" si="18"/>
        <v>7285</v>
      </c>
    </row>
    <row r="178">
      <c r="A178" s="6">
        <v>2025.0</v>
      </c>
      <c r="B178" s="6" t="s">
        <v>15</v>
      </c>
      <c r="C178" s="1" t="s">
        <v>284</v>
      </c>
      <c r="F178" s="6" t="s">
        <v>213</v>
      </c>
      <c r="G178" s="6" t="s">
        <v>218</v>
      </c>
      <c r="H178" s="6" t="s">
        <v>239</v>
      </c>
      <c r="I178" s="6" t="s">
        <v>213</v>
      </c>
      <c r="J178" s="6">
        <v>1450.0</v>
      </c>
      <c r="K178" s="6"/>
      <c r="L178" s="6">
        <v>1.0</v>
      </c>
      <c r="M178" s="6">
        <v>1980.0</v>
      </c>
      <c r="O178" s="7">
        <f t="shared" si="18"/>
        <v>2871</v>
      </c>
    </row>
    <row r="179">
      <c r="A179" s="6">
        <v>2025.0</v>
      </c>
      <c r="B179" s="6" t="s">
        <v>15</v>
      </c>
      <c r="C179" s="1" t="s">
        <v>284</v>
      </c>
      <c r="F179" s="6" t="s">
        <v>213</v>
      </c>
      <c r="G179" s="6" t="s">
        <v>218</v>
      </c>
      <c r="H179" s="6" t="s">
        <v>217</v>
      </c>
      <c r="I179" s="6" t="s">
        <v>213</v>
      </c>
      <c r="J179" s="6">
        <v>1530.0</v>
      </c>
      <c r="K179" s="6"/>
      <c r="L179" s="6">
        <v>1.0</v>
      </c>
      <c r="M179" s="6">
        <v>7980.0</v>
      </c>
      <c r="O179" s="7">
        <f t="shared" si="18"/>
        <v>12209.4</v>
      </c>
    </row>
    <row r="180">
      <c r="A180" s="6">
        <v>2025.0</v>
      </c>
      <c r="B180" s="6" t="s">
        <v>15</v>
      </c>
      <c r="C180" s="1" t="s">
        <v>284</v>
      </c>
      <c r="F180" s="6" t="s">
        <v>213</v>
      </c>
      <c r="G180" s="6" t="s">
        <v>218</v>
      </c>
      <c r="H180" s="6" t="s">
        <v>242</v>
      </c>
      <c r="I180" s="6" t="s">
        <v>213</v>
      </c>
      <c r="J180" s="6">
        <f>2420+790</f>
        <v>3210</v>
      </c>
      <c r="K180" s="6"/>
      <c r="L180" s="6">
        <v>1.0</v>
      </c>
      <c r="M180" s="6">
        <v>5780.0</v>
      </c>
      <c r="O180" s="7">
        <f t="shared" si="18"/>
        <v>18553.8</v>
      </c>
    </row>
    <row r="181">
      <c r="A181" s="6">
        <v>2025.0</v>
      </c>
      <c r="B181" s="6" t="s">
        <v>15</v>
      </c>
      <c r="C181" s="1" t="s">
        <v>284</v>
      </c>
      <c r="F181" s="6" t="s">
        <v>213</v>
      </c>
      <c r="G181" s="6" t="s">
        <v>218</v>
      </c>
      <c r="H181" s="6" t="s">
        <v>241</v>
      </c>
      <c r="I181" s="6" t="s">
        <v>213</v>
      </c>
      <c r="J181" s="6">
        <v>620.0</v>
      </c>
      <c r="K181" s="6"/>
      <c r="L181" s="6">
        <v>1.0</v>
      </c>
      <c r="M181" s="6">
        <v>2300.0</v>
      </c>
      <c r="O181" s="7">
        <f t="shared" si="18"/>
        <v>1426</v>
      </c>
    </row>
    <row r="182">
      <c r="A182" s="6">
        <v>2025.0</v>
      </c>
      <c r="B182" s="6" t="s">
        <v>15</v>
      </c>
      <c r="C182" s="1" t="s">
        <v>284</v>
      </c>
      <c r="F182" s="6" t="s">
        <v>213</v>
      </c>
      <c r="G182" s="6" t="s">
        <v>218</v>
      </c>
      <c r="H182" s="6" t="s">
        <v>268</v>
      </c>
      <c r="I182" s="6" t="s">
        <v>213</v>
      </c>
      <c r="J182" s="6">
        <v>830.0</v>
      </c>
      <c r="L182" s="6">
        <v>1.0</v>
      </c>
      <c r="M182" s="3">
        <v>4400.0</v>
      </c>
      <c r="O182" s="7">
        <f t="shared" si="18"/>
        <v>3652</v>
      </c>
    </row>
    <row r="183">
      <c r="A183" s="6">
        <v>2025.0</v>
      </c>
      <c r="B183" s="6" t="s">
        <v>15</v>
      </c>
      <c r="C183" s="1" t="s">
        <v>284</v>
      </c>
      <c r="F183" s="6" t="s">
        <v>213</v>
      </c>
      <c r="G183" s="6" t="s">
        <v>218</v>
      </c>
      <c r="H183" s="6" t="s">
        <v>264</v>
      </c>
      <c r="I183" s="6" t="s">
        <v>213</v>
      </c>
      <c r="J183" s="3">
        <v>810.0</v>
      </c>
      <c r="L183" s="6">
        <v>1.0</v>
      </c>
      <c r="M183" s="3">
        <v>7900.0</v>
      </c>
      <c r="O183" s="7">
        <f t="shared" si="18"/>
        <v>6399</v>
      </c>
    </row>
    <row r="184">
      <c r="A184" s="6">
        <v>2025.0</v>
      </c>
      <c r="B184" s="6" t="s">
        <v>15</v>
      </c>
      <c r="C184" s="1" t="s">
        <v>284</v>
      </c>
      <c r="F184" s="6" t="s">
        <v>213</v>
      </c>
      <c r="G184" s="6" t="s">
        <v>218</v>
      </c>
      <c r="H184" s="6" t="s">
        <v>304</v>
      </c>
      <c r="I184" s="6" t="s">
        <v>213</v>
      </c>
      <c r="L184" s="6">
        <v>2.0</v>
      </c>
      <c r="M184" s="6">
        <v>1990.0</v>
      </c>
      <c r="O184" s="7">
        <f>M184*L184</f>
        <v>3980</v>
      </c>
    </row>
    <row r="185">
      <c r="A185" s="6">
        <v>2025.0</v>
      </c>
      <c r="B185" s="6" t="s">
        <v>15</v>
      </c>
      <c r="C185" s="1" t="s">
        <v>284</v>
      </c>
      <c r="F185" s="6" t="s">
        <v>213</v>
      </c>
      <c r="G185" s="6" t="s">
        <v>218</v>
      </c>
      <c r="H185" s="6" t="s">
        <v>238</v>
      </c>
      <c r="I185" s="6" t="s">
        <v>213</v>
      </c>
      <c r="J185" s="6">
        <f>580+190</f>
        <v>770</v>
      </c>
      <c r="K185" s="6"/>
      <c r="M185" s="6">
        <v>5500.0</v>
      </c>
      <c r="O185" s="7">
        <f t="shared" ref="O185:O189" si="19">M185*J185/1000</f>
        <v>4235</v>
      </c>
    </row>
    <row r="186">
      <c r="A186" s="6">
        <v>2025.0</v>
      </c>
      <c r="B186" s="6" t="s">
        <v>15</v>
      </c>
      <c r="C186" s="1" t="s">
        <v>284</v>
      </c>
      <c r="F186" s="6" t="s">
        <v>213</v>
      </c>
      <c r="G186" s="6" t="s">
        <v>218</v>
      </c>
      <c r="H186" s="6" t="s">
        <v>230</v>
      </c>
      <c r="I186" s="6" t="s">
        <v>213</v>
      </c>
      <c r="J186" s="6">
        <f>2090+1060</f>
        <v>3150</v>
      </c>
      <c r="K186" s="6"/>
      <c r="M186" s="6">
        <v>2100.0</v>
      </c>
      <c r="O186" s="7">
        <f t="shared" si="19"/>
        <v>6615</v>
      </c>
    </row>
    <row r="187">
      <c r="A187" s="6">
        <v>2025.0</v>
      </c>
      <c r="B187" s="6" t="s">
        <v>15</v>
      </c>
      <c r="C187" s="1" t="s">
        <v>284</v>
      </c>
      <c r="F187" s="6" t="s">
        <v>213</v>
      </c>
      <c r="G187" s="6" t="s">
        <v>218</v>
      </c>
      <c r="H187" s="6" t="s">
        <v>243</v>
      </c>
      <c r="I187" s="6" t="s">
        <v>213</v>
      </c>
      <c r="J187" s="6">
        <v>1630.0</v>
      </c>
      <c r="K187" s="6"/>
      <c r="M187" s="6">
        <v>1980.0</v>
      </c>
      <c r="O187" s="7">
        <f t="shared" si="19"/>
        <v>3227.4</v>
      </c>
    </row>
    <row r="188">
      <c r="A188" s="6">
        <v>2025.0</v>
      </c>
      <c r="B188" s="6" t="s">
        <v>15</v>
      </c>
      <c r="C188" s="1" t="s">
        <v>284</v>
      </c>
      <c r="F188" s="6" t="s">
        <v>213</v>
      </c>
      <c r="G188" s="6" t="s">
        <v>218</v>
      </c>
      <c r="H188" s="6" t="s">
        <v>237</v>
      </c>
      <c r="I188" s="6" t="s">
        <v>213</v>
      </c>
      <c r="J188" s="6">
        <f>870+970</f>
        <v>1840</v>
      </c>
      <c r="K188" s="6"/>
      <c r="M188" s="6">
        <v>2900.0</v>
      </c>
      <c r="O188" s="7">
        <f t="shared" si="19"/>
        <v>5336</v>
      </c>
    </row>
    <row r="189">
      <c r="A189" s="6">
        <v>2025.0</v>
      </c>
      <c r="B189" s="6" t="s">
        <v>15</v>
      </c>
      <c r="C189" s="1" t="s">
        <v>284</v>
      </c>
      <c r="F189" s="6" t="s">
        <v>213</v>
      </c>
      <c r="G189" s="6" t="s">
        <v>218</v>
      </c>
      <c r="H189" s="6" t="s">
        <v>273</v>
      </c>
      <c r="I189" s="6" t="s">
        <v>213</v>
      </c>
      <c r="J189" s="3">
        <v>2320.0</v>
      </c>
      <c r="M189" s="6">
        <v>1980.0</v>
      </c>
      <c r="O189" s="7">
        <f t="shared" si="19"/>
        <v>4593.6</v>
      </c>
    </row>
    <row r="190">
      <c r="A190" s="6">
        <v>2025.0</v>
      </c>
      <c r="B190" s="6" t="s">
        <v>15</v>
      </c>
      <c r="C190" s="1" t="s">
        <v>284</v>
      </c>
      <c r="F190" s="6" t="s">
        <v>213</v>
      </c>
      <c r="G190" s="6" t="s">
        <v>232</v>
      </c>
      <c r="H190" s="6" t="s">
        <v>233</v>
      </c>
      <c r="I190" s="6" t="s">
        <v>39</v>
      </c>
      <c r="J190" s="6">
        <v>500.0</v>
      </c>
      <c r="K190" s="6"/>
      <c r="L190" s="6">
        <v>1.0</v>
      </c>
      <c r="M190" s="6">
        <v>3550.0</v>
      </c>
      <c r="O190" s="7">
        <f t="shared" ref="O190:O197" si="20">M190*L190</f>
        <v>3550</v>
      </c>
    </row>
    <row r="191">
      <c r="A191" s="6">
        <v>2025.0</v>
      </c>
      <c r="B191" s="6" t="s">
        <v>15</v>
      </c>
      <c r="C191" s="1" t="s">
        <v>284</v>
      </c>
      <c r="F191" s="6" t="s">
        <v>213</v>
      </c>
      <c r="G191" s="6" t="s">
        <v>232</v>
      </c>
      <c r="H191" s="6" t="s">
        <v>234</v>
      </c>
      <c r="I191" s="6" t="s">
        <v>39</v>
      </c>
      <c r="J191" s="6">
        <v>500.0</v>
      </c>
      <c r="K191" s="6"/>
      <c r="L191" s="6">
        <v>1.0</v>
      </c>
      <c r="M191" s="6">
        <v>3990.0</v>
      </c>
      <c r="O191" s="7">
        <f t="shared" si="20"/>
        <v>3990</v>
      </c>
    </row>
    <row r="192">
      <c r="A192" s="6">
        <v>2025.0</v>
      </c>
      <c r="B192" s="6" t="s">
        <v>15</v>
      </c>
      <c r="C192" s="1" t="s">
        <v>284</v>
      </c>
      <c r="F192" s="6" t="s">
        <v>213</v>
      </c>
      <c r="G192" s="6" t="s">
        <v>223</v>
      </c>
      <c r="H192" s="6" t="s">
        <v>224</v>
      </c>
      <c r="I192" s="6" t="s">
        <v>43</v>
      </c>
      <c r="J192" s="6">
        <v>400.0</v>
      </c>
      <c r="K192" s="6"/>
      <c r="L192" s="6">
        <v>1.0</v>
      </c>
      <c r="M192" s="6">
        <v>10990.0</v>
      </c>
      <c r="O192" s="7">
        <f t="shared" si="20"/>
        <v>10990</v>
      </c>
    </row>
    <row r="193">
      <c r="A193" s="6">
        <v>2025.0</v>
      </c>
      <c r="B193" s="6" t="s">
        <v>15</v>
      </c>
      <c r="C193" s="1" t="s">
        <v>284</v>
      </c>
      <c r="F193" s="6" t="s">
        <v>213</v>
      </c>
      <c r="G193" s="6" t="s">
        <v>232</v>
      </c>
      <c r="H193" s="6" t="s">
        <v>305</v>
      </c>
      <c r="I193" s="6" t="s">
        <v>39</v>
      </c>
      <c r="J193" s="6">
        <v>500.0</v>
      </c>
      <c r="L193" s="6">
        <v>1.0</v>
      </c>
      <c r="M193" s="6">
        <v>1990.0</v>
      </c>
      <c r="O193" s="7">
        <f t="shared" si="20"/>
        <v>1990</v>
      </c>
    </row>
    <row r="194">
      <c r="A194" s="6">
        <v>2025.0</v>
      </c>
      <c r="B194" s="6" t="s">
        <v>15</v>
      </c>
      <c r="C194" s="1" t="s">
        <v>284</v>
      </c>
      <c r="F194" s="6" t="s">
        <v>213</v>
      </c>
      <c r="G194" s="6" t="s">
        <v>214</v>
      </c>
      <c r="H194" s="6" t="s">
        <v>215</v>
      </c>
      <c r="I194" s="6" t="s">
        <v>213</v>
      </c>
      <c r="J194" s="6">
        <v>900.0</v>
      </c>
      <c r="K194" s="6"/>
      <c r="L194" s="6">
        <v>1.0</v>
      </c>
      <c r="M194" s="6">
        <v>7200.0</v>
      </c>
      <c r="O194" s="7">
        <f t="shared" si="20"/>
        <v>7200</v>
      </c>
    </row>
    <row r="195">
      <c r="A195" s="6">
        <v>2025.0</v>
      </c>
      <c r="B195" s="6" t="s">
        <v>15</v>
      </c>
      <c r="C195" s="1" t="s">
        <v>284</v>
      </c>
      <c r="F195" s="6" t="s">
        <v>213</v>
      </c>
      <c r="G195" s="6" t="s">
        <v>270</v>
      </c>
      <c r="H195" s="6" t="s">
        <v>271</v>
      </c>
      <c r="I195" s="6" t="s">
        <v>78</v>
      </c>
      <c r="J195" s="6">
        <v>650.0</v>
      </c>
      <c r="L195" s="6">
        <v>1.0</v>
      </c>
      <c r="M195" s="6">
        <v>8850.0</v>
      </c>
      <c r="O195" s="7">
        <f t="shared" si="20"/>
        <v>8850</v>
      </c>
    </row>
    <row r="196">
      <c r="A196" s="6">
        <v>2025.0</v>
      </c>
      <c r="B196" s="6" t="s">
        <v>15</v>
      </c>
      <c r="C196" s="1" t="s">
        <v>284</v>
      </c>
      <c r="F196" s="6" t="s">
        <v>213</v>
      </c>
      <c r="G196" s="6" t="s">
        <v>296</v>
      </c>
      <c r="H196" s="6" t="s">
        <v>306</v>
      </c>
      <c r="L196" s="6">
        <v>1.0</v>
      </c>
      <c r="M196" s="6">
        <v>11950.0</v>
      </c>
      <c r="O196" s="7">
        <f t="shared" si="20"/>
        <v>11950</v>
      </c>
    </row>
    <row r="197">
      <c r="A197" s="6">
        <v>2025.0</v>
      </c>
      <c r="B197" s="6" t="s">
        <v>15</v>
      </c>
      <c r="C197" s="1" t="s">
        <v>284</v>
      </c>
      <c r="F197" s="6" t="s">
        <v>213</v>
      </c>
      <c r="G197" s="6" t="s">
        <v>220</v>
      </c>
      <c r="H197" s="6" t="s">
        <v>221</v>
      </c>
      <c r="I197" s="6" t="s">
        <v>39</v>
      </c>
      <c r="J197" s="6">
        <v>160.0</v>
      </c>
      <c r="K197" s="6"/>
      <c r="L197" s="6">
        <v>1.0</v>
      </c>
      <c r="M197" s="6">
        <v>4990.0</v>
      </c>
      <c r="O197" s="7">
        <f t="shared" si="20"/>
        <v>4990</v>
      </c>
    </row>
    <row r="198">
      <c r="A198" s="24" t="s">
        <v>204</v>
      </c>
      <c r="B198" s="24"/>
      <c r="C198" s="24"/>
      <c r="D198" s="24"/>
      <c r="E198" s="24"/>
      <c r="F198" s="25"/>
      <c r="G198" s="25"/>
      <c r="H198" s="25"/>
      <c r="I198" s="25"/>
      <c r="J198" s="25"/>
      <c r="K198" s="25"/>
      <c r="L198" s="25"/>
      <c r="M198" s="25"/>
      <c r="N198" s="28" t="str">
        <f>CHANGE(O144,O198)</f>
        <v>#NAME?</v>
      </c>
      <c r="O198" s="26">
        <f>SUM(O169:O197)</f>
        <v>325497.24</v>
      </c>
    </row>
    <row r="199">
      <c r="A199" s="6">
        <v>2025.0</v>
      </c>
      <c r="B199" s="6" t="s">
        <v>152</v>
      </c>
      <c r="C199" s="1" t="s">
        <v>284</v>
      </c>
      <c r="F199" s="6" t="s">
        <v>206</v>
      </c>
      <c r="G199" s="6" t="s">
        <v>207</v>
      </c>
      <c r="H199" s="6" t="s">
        <v>261</v>
      </c>
      <c r="L199" s="6">
        <v>1.0</v>
      </c>
      <c r="M199" s="6">
        <v>7990.0</v>
      </c>
      <c r="O199" s="7">
        <f t="shared" ref="O199:O208" si="21">M199*L199</f>
        <v>7990</v>
      </c>
    </row>
    <row r="200">
      <c r="A200" s="6">
        <v>2025.0</v>
      </c>
      <c r="B200" s="6" t="s">
        <v>152</v>
      </c>
      <c r="C200" s="1" t="s">
        <v>284</v>
      </c>
      <c r="F200" s="6" t="s">
        <v>206</v>
      </c>
      <c r="H200" s="6" t="s">
        <v>249</v>
      </c>
      <c r="L200" s="6">
        <v>1.0</v>
      </c>
      <c r="M200" s="27">
        <v>1200.0</v>
      </c>
      <c r="O200" s="7">
        <f t="shared" si="21"/>
        <v>1200</v>
      </c>
    </row>
    <row r="201">
      <c r="A201" s="6">
        <v>2025.0</v>
      </c>
      <c r="B201" s="6" t="s">
        <v>152</v>
      </c>
      <c r="C201" s="1" t="s">
        <v>284</v>
      </c>
      <c r="F201" s="6" t="s">
        <v>206</v>
      </c>
      <c r="H201" s="6" t="s">
        <v>247</v>
      </c>
      <c r="L201" s="6">
        <v>2.0</v>
      </c>
      <c r="M201" s="27">
        <v>4990.0</v>
      </c>
      <c r="O201" s="7">
        <f t="shared" si="21"/>
        <v>9980</v>
      </c>
    </row>
    <row r="202">
      <c r="A202" s="6">
        <v>2025.0</v>
      </c>
      <c r="B202" s="6" t="s">
        <v>152</v>
      </c>
      <c r="C202" s="1" t="s">
        <v>284</v>
      </c>
      <c r="F202" s="6" t="s">
        <v>206</v>
      </c>
      <c r="H202" s="6" t="s">
        <v>307</v>
      </c>
      <c r="L202" s="6">
        <v>1.0</v>
      </c>
      <c r="M202" s="27">
        <v>1200.0</v>
      </c>
      <c r="O202" s="7">
        <f t="shared" si="21"/>
        <v>1200</v>
      </c>
    </row>
    <row r="203">
      <c r="A203" s="6">
        <v>2025.0</v>
      </c>
      <c r="B203" s="6" t="s">
        <v>152</v>
      </c>
      <c r="C203" s="1" t="s">
        <v>284</v>
      </c>
      <c r="F203" s="6" t="s">
        <v>206</v>
      </c>
      <c r="H203" s="6" t="s">
        <v>255</v>
      </c>
      <c r="L203" s="6">
        <v>1.0</v>
      </c>
      <c r="M203" s="15">
        <v>8700.0</v>
      </c>
      <c r="O203" s="7">
        <f t="shared" si="21"/>
        <v>8700</v>
      </c>
    </row>
    <row r="204">
      <c r="A204" s="6">
        <v>2025.0</v>
      </c>
      <c r="B204" s="6" t="s">
        <v>152</v>
      </c>
      <c r="C204" s="1" t="s">
        <v>284</v>
      </c>
      <c r="F204" s="6" t="s">
        <v>206</v>
      </c>
      <c r="H204" s="6" t="s">
        <v>295</v>
      </c>
      <c r="L204" s="6">
        <v>1.0</v>
      </c>
      <c r="M204" s="6">
        <v>11990.0</v>
      </c>
      <c r="O204" s="7">
        <f t="shared" si="21"/>
        <v>11990</v>
      </c>
    </row>
    <row r="205">
      <c r="A205" s="6">
        <v>2025.0</v>
      </c>
      <c r="B205" s="6" t="s">
        <v>152</v>
      </c>
      <c r="C205" s="1" t="s">
        <v>284</v>
      </c>
      <c r="F205" s="6" t="s">
        <v>206</v>
      </c>
      <c r="H205" s="6" t="s">
        <v>251</v>
      </c>
      <c r="L205" s="6">
        <v>1.0</v>
      </c>
      <c r="M205" s="15">
        <v>4570.0</v>
      </c>
      <c r="O205" s="7">
        <f t="shared" si="21"/>
        <v>4570</v>
      </c>
    </row>
    <row r="206">
      <c r="A206" s="6">
        <v>2025.0</v>
      </c>
      <c r="B206" s="6" t="s">
        <v>152</v>
      </c>
      <c r="C206" s="1" t="s">
        <v>284</v>
      </c>
      <c r="F206" s="6" t="s">
        <v>206</v>
      </c>
      <c r="H206" s="6" t="s">
        <v>308</v>
      </c>
      <c r="L206" s="6">
        <v>1.0</v>
      </c>
      <c r="M206" s="6">
        <v>4950.0</v>
      </c>
      <c r="O206" s="7">
        <f t="shared" si="21"/>
        <v>4950</v>
      </c>
    </row>
    <row r="207">
      <c r="A207" s="6">
        <v>2025.0</v>
      </c>
      <c r="B207" s="6" t="s">
        <v>152</v>
      </c>
      <c r="C207" s="1" t="s">
        <v>284</v>
      </c>
      <c r="F207" s="6" t="s">
        <v>206</v>
      </c>
      <c r="H207" s="6" t="s">
        <v>260</v>
      </c>
      <c r="L207" s="6">
        <v>2.0</v>
      </c>
      <c r="M207" s="6">
        <v>1950.0</v>
      </c>
      <c r="O207" s="7">
        <f t="shared" si="21"/>
        <v>3900</v>
      </c>
    </row>
    <row r="208">
      <c r="A208" s="6">
        <v>2025.0</v>
      </c>
      <c r="B208" s="6" t="s">
        <v>152</v>
      </c>
      <c r="C208" s="1" t="s">
        <v>284</v>
      </c>
      <c r="F208" s="6" t="s">
        <v>206</v>
      </c>
      <c r="H208" s="6" t="s">
        <v>256</v>
      </c>
      <c r="L208" s="6">
        <v>1.0</v>
      </c>
      <c r="M208" s="15">
        <v>2600.0</v>
      </c>
      <c r="O208" s="7">
        <f t="shared" si="21"/>
        <v>2600</v>
      </c>
    </row>
    <row r="209">
      <c r="A209" s="24" t="s">
        <v>204</v>
      </c>
      <c r="B209" s="24"/>
      <c r="C209" s="24"/>
      <c r="D209" s="24"/>
      <c r="E209" s="24"/>
      <c r="F209" s="25"/>
      <c r="G209" s="25"/>
      <c r="H209" s="25"/>
      <c r="I209" s="25"/>
      <c r="J209" s="25"/>
      <c r="K209" s="25"/>
      <c r="L209" s="25"/>
      <c r="M209" s="25"/>
      <c r="N209" s="28" t="str">
        <f>CHANGE(O155,O209)</f>
        <v>#NAME?</v>
      </c>
      <c r="O209" s="26">
        <f>SUM(O199:O208)</f>
        <v>57080</v>
      </c>
    </row>
    <row r="210">
      <c r="A210" s="6">
        <v>2025.0</v>
      </c>
      <c r="B210" s="6" t="s">
        <v>163</v>
      </c>
      <c r="C210" s="1" t="s">
        <v>205</v>
      </c>
      <c r="F210" s="6" t="s">
        <v>206</v>
      </c>
      <c r="H210" s="6" t="s">
        <v>295</v>
      </c>
      <c r="L210" s="6">
        <v>1.0</v>
      </c>
      <c r="M210" s="6">
        <v>11990.0</v>
      </c>
      <c r="O210" s="7">
        <f t="shared" ref="O210:O226" si="22">M210*L210</f>
        <v>11990</v>
      </c>
    </row>
    <row r="211">
      <c r="A211" s="6">
        <v>2025.0</v>
      </c>
      <c r="B211" s="6" t="s">
        <v>163</v>
      </c>
      <c r="C211" s="1" t="s">
        <v>205</v>
      </c>
      <c r="F211" s="6" t="s">
        <v>206</v>
      </c>
      <c r="H211" s="6" t="s">
        <v>309</v>
      </c>
      <c r="L211" s="6">
        <v>1.0</v>
      </c>
      <c r="M211" s="27">
        <v>5990.0</v>
      </c>
      <c r="O211" s="7">
        <f t="shared" si="22"/>
        <v>5990</v>
      </c>
    </row>
    <row r="212">
      <c r="A212" s="6">
        <v>2025.0</v>
      </c>
      <c r="B212" s="6" t="s">
        <v>163</v>
      </c>
      <c r="C212" s="1" t="s">
        <v>205</v>
      </c>
      <c r="F212" s="6" t="s">
        <v>206</v>
      </c>
      <c r="H212" s="6" t="s">
        <v>247</v>
      </c>
      <c r="L212" s="6">
        <v>2.0</v>
      </c>
      <c r="M212" s="27">
        <v>4990.0</v>
      </c>
      <c r="O212" s="7">
        <f t="shared" si="22"/>
        <v>9980</v>
      </c>
    </row>
    <row r="213">
      <c r="A213" s="6">
        <v>2025.0</v>
      </c>
      <c r="B213" s="6" t="s">
        <v>163</v>
      </c>
      <c r="C213" s="1" t="s">
        <v>205</v>
      </c>
      <c r="F213" s="6" t="s">
        <v>206</v>
      </c>
      <c r="H213" s="6" t="s">
        <v>310</v>
      </c>
      <c r="L213" s="6">
        <v>1.0</v>
      </c>
      <c r="M213" s="27">
        <v>9990.0</v>
      </c>
      <c r="O213" s="7">
        <f t="shared" si="22"/>
        <v>9990</v>
      </c>
    </row>
    <row r="214">
      <c r="A214" s="6">
        <v>2025.0</v>
      </c>
      <c r="B214" s="6" t="s">
        <v>163</v>
      </c>
      <c r="C214" s="1" t="s">
        <v>205</v>
      </c>
      <c r="F214" s="6" t="s">
        <v>206</v>
      </c>
      <c r="H214" s="6" t="s">
        <v>249</v>
      </c>
      <c r="L214" s="6">
        <v>1.0</v>
      </c>
      <c r="M214" s="27">
        <v>1150.0</v>
      </c>
      <c r="O214" s="7">
        <f t="shared" si="22"/>
        <v>1150</v>
      </c>
    </row>
    <row r="215">
      <c r="A215" s="6">
        <v>2025.0</v>
      </c>
      <c r="B215" s="6" t="s">
        <v>163</v>
      </c>
      <c r="C215" s="1" t="s">
        <v>205</v>
      </c>
      <c r="F215" s="6" t="s">
        <v>206</v>
      </c>
      <c r="H215" s="6" t="s">
        <v>250</v>
      </c>
      <c r="L215" s="6">
        <v>1.0</v>
      </c>
      <c r="M215" s="15">
        <v>2450.0</v>
      </c>
      <c r="O215" s="7">
        <f t="shared" si="22"/>
        <v>2450</v>
      </c>
    </row>
    <row r="216">
      <c r="A216" s="6">
        <v>2025.0</v>
      </c>
      <c r="B216" s="6" t="s">
        <v>163</v>
      </c>
      <c r="C216" s="1" t="s">
        <v>205</v>
      </c>
      <c r="F216" s="6" t="s">
        <v>206</v>
      </c>
      <c r="H216" s="6" t="s">
        <v>301</v>
      </c>
      <c r="L216" s="6">
        <v>1.0</v>
      </c>
      <c r="M216" s="27">
        <v>4950.0</v>
      </c>
      <c r="O216" s="7">
        <f t="shared" si="22"/>
        <v>4950</v>
      </c>
    </row>
    <row r="217">
      <c r="A217" s="6">
        <v>2025.0</v>
      </c>
      <c r="B217" s="6" t="s">
        <v>163</v>
      </c>
      <c r="C217" s="1" t="s">
        <v>205</v>
      </c>
      <c r="F217" s="6" t="s">
        <v>206</v>
      </c>
      <c r="H217" s="6" t="s">
        <v>311</v>
      </c>
      <c r="L217" s="6">
        <v>1.0</v>
      </c>
      <c r="M217" s="6">
        <v>1750.0</v>
      </c>
      <c r="O217" s="7">
        <f t="shared" si="22"/>
        <v>1750</v>
      </c>
    </row>
    <row r="218">
      <c r="A218" s="6">
        <v>2025.0</v>
      </c>
      <c r="B218" s="6" t="s">
        <v>163</v>
      </c>
      <c r="C218" s="1" t="s">
        <v>205</v>
      </c>
      <c r="F218" s="6" t="s">
        <v>206</v>
      </c>
      <c r="H218" s="6" t="s">
        <v>253</v>
      </c>
      <c r="L218" s="6">
        <v>1.0</v>
      </c>
      <c r="M218" s="15">
        <v>6450.0</v>
      </c>
      <c r="O218" s="7">
        <f t="shared" si="22"/>
        <v>6450</v>
      </c>
    </row>
    <row r="219">
      <c r="A219" s="6">
        <v>2025.0</v>
      </c>
      <c r="B219" s="6" t="s">
        <v>163</v>
      </c>
      <c r="C219" s="1" t="s">
        <v>205</v>
      </c>
      <c r="F219" s="6" t="s">
        <v>206</v>
      </c>
      <c r="H219" s="6" t="s">
        <v>308</v>
      </c>
      <c r="L219" s="6">
        <v>1.0</v>
      </c>
      <c r="M219" s="6">
        <v>4950.0</v>
      </c>
      <c r="O219" s="7">
        <f t="shared" si="22"/>
        <v>4950</v>
      </c>
    </row>
    <row r="220">
      <c r="A220" s="6">
        <v>2025.0</v>
      </c>
      <c r="B220" s="6" t="s">
        <v>163</v>
      </c>
      <c r="C220" s="1" t="s">
        <v>205</v>
      </c>
      <c r="F220" s="6" t="s">
        <v>206</v>
      </c>
      <c r="H220" s="6" t="s">
        <v>255</v>
      </c>
      <c r="L220" s="6">
        <v>1.0</v>
      </c>
      <c r="M220" s="15">
        <v>8700.0</v>
      </c>
      <c r="O220" s="7">
        <f t="shared" si="22"/>
        <v>8700</v>
      </c>
    </row>
    <row r="221">
      <c r="A221" s="6">
        <v>2025.0</v>
      </c>
      <c r="B221" s="6" t="s">
        <v>163</v>
      </c>
      <c r="C221" s="1" t="s">
        <v>205</v>
      </c>
      <c r="F221" s="6" t="s">
        <v>206</v>
      </c>
      <c r="H221" s="6" t="s">
        <v>307</v>
      </c>
      <c r="L221" s="6">
        <v>1.0</v>
      </c>
      <c r="M221" s="27">
        <v>1150.0</v>
      </c>
      <c r="O221" s="7">
        <f t="shared" si="22"/>
        <v>1150</v>
      </c>
    </row>
    <row r="222">
      <c r="A222" s="6">
        <v>2025.0</v>
      </c>
      <c r="B222" s="6" t="s">
        <v>163</v>
      </c>
      <c r="C222" s="1" t="s">
        <v>205</v>
      </c>
      <c r="F222" s="6" t="s">
        <v>206</v>
      </c>
      <c r="H222" s="6" t="s">
        <v>257</v>
      </c>
      <c r="L222" s="6">
        <v>1.0</v>
      </c>
      <c r="M222" s="15">
        <v>3790.0</v>
      </c>
      <c r="O222" s="7">
        <f t="shared" si="22"/>
        <v>3790</v>
      </c>
    </row>
    <row r="223">
      <c r="A223" s="6">
        <v>2025.0</v>
      </c>
      <c r="B223" s="6" t="s">
        <v>163</v>
      </c>
      <c r="C223" s="1" t="s">
        <v>205</v>
      </c>
      <c r="F223" s="6" t="s">
        <v>206</v>
      </c>
      <c r="H223" s="6" t="s">
        <v>258</v>
      </c>
      <c r="L223" s="6">
        <v>1.0</v>
      </c>
      <c r="M223" s="27">
        <v>4490.0</v>
      </c>
      <c r="O223" s="7">
        <f t="shared" si="22"/>
        <v>4490</v>
      </c>
    </row>
    <row r="224">
      <c r="A224" s="6">
        <v>2025.0</v>
      </c>
      <c r="B224" s="6" t="s">
        <v>163</v>
      </c>
      <c r="C224" s="1" t="s">
        <v>205</v>
      </c>
      <c r="F224" s="6" t="s">
        <v>206</v>
      </c>
      <c r="H224" s="6" t="s">
        <v>297</v>
      </c>
      <c r="L224" s="6">
        <v>1.0</v>
      </c>
      <c r="M224" s="6">
        <v>4250.0</v>
      </c>
      <c r="O224" s="7">
        <f t="shared" si="22"/>
        <v>4250</v>
      </c>
    </row>
    <row r="225">
      <c r="A225" s="6">
        <v>2025.0</v>
      </c>
      <c r="B225" s="6" t="s">
        <v>163</v>
      </c>
      <c r="C225" s="1" t="s">
        <v>205</v>
      </c>
      <c r="F225" s="6" t="s">
        <v>206</v>
      </c>
      <c r="H225" s="6" t="s">
        <v>260</v>
      </c>
      <c r="L225" s="6">
        <v>3.0</v>
      </c>
      <c r="M225" s="6">
        <v>1950.0</v>
      </c>
      <c r="O225" s="7">
        <f t="shared" si="22"/>
        <v>5850</v>
      </c>
    </row>
    <row r="226">
      <c r="A226" s="6">
        <v>2025.0</v>
      </c>
      <c r="B226" s="6" t="s">
        <v>163</v>
      </c>
      <c r="C226" s="1" t="s">
        <v>205</v>
      </c>
      <c r="F226" s="6" t="s">
        <v>206</v>
      </c>
      <c r="G226" s="6" t="s">
        <v>207</v>
      </c>
      <c r="H226" s="6" t="s">
        <v>261</v>
      </c>
      <c r="L226" s="6">
        <v>1.0</v>
      </c>
      <c r="M226" s="6">
        <v>7990.0</v>
      </c>
      <c r="O226" s="7">
        <f t="shared" si="22"/>
        <v>7990</v>
      </c>
    </row>
    <row r="227">
      <c r="A227" s="24" t="s">
        <v>204</v>
      </c>
      <c r="B227" s="24"/>
      <c r="C227" s="24"/>
      <c r="D227" s="24"/>
      <c r="E227" s="24"/>
      <c r="F227" s="25"/>
      <c r="G227" s="25"/>
      <c r="H227" s="25"/>
      <c r="I227" s="25"/>
      <c r="J227" s="25"/>
      <c r="K227" s="25"/>
      <c r="L227" s="25"/>
      <c r="M227" s="25"/>
      <c r="N227" s="28" t="str">
        <f>CHANGE(O173,O227)</f>
        <v>#NAME?</v>
      </c>
      <c r="O227" s="26">
        <f>SUM(O210:O226)</f>
        <v>95870</v>
      </c>
    </row>
    <row r="228">
      <c r="A228" s="6">
        <v>2025.0</v>
      </c>
      <c r="B228" s="6" t="s">
        <v>160</v>
      </c>
      <c r="C228" s="1" t="s">
        <v>205</v>
      </c>
      <c r="F228" s="6" t="s">
        <v>206</v>
      </c>
      <c r="H228" s="6" t="s">
        <v>295</v>
      </c>
      <c r="L228" s="6">
        <v>1.0</v>
      </c>
      <c r="M228" s="6">
        <v>11990.0</v>
      </c>
      <c r="O228" s="7">
        <f t="shared" ref="O228:O243" si="23">M228*L228</f>
        <v>11990</v>
      </c>
    </row>
    <row r="229">
      <c r="A229" s="6">
        <v>2025.0</v>
      </c>
      <c r="B229" s="6" t="s">
        <v>160</v>
      </c>
      <c r="C229" s="1" t="s">
        <v>205</v>
      </c>
      <c r="F229" s="6" t="s">
        <v>206</v>
      </c>
      <c r="H229" s="6" t="s">
        <v>309</v>
      </c>
      <c r="L229" s="6">
        <v>1.0</v>
      </c>
      <c r="M229" s="27">
        <v>5990.0</v>
      </c>
      <c r="O229" s="7">
        <f t="shared" si="23"/>
        <v>5990</v>
      </c>
    </row>
    <row r="230">
      <c r="A230" s="6">
        <v>2025.0</v>
      </c>
      <c r="B230" s="6" t="s">
        <v>160</v>
      </c>
      <c r="C230" s="1" t="s">
        <v>205</v>
      </c>
      <c r="F230" s="6" t="s">
        <v>206</v>
      </c>
      <c r="H230" s="6" t="s">
        <v>247</v>
      </c>
      <c r="L230" s="6">
        <v>2.0</v>
      </c>
      <c r="M230" s="27">
        <v>4990.0</v>
      </c>
      <c r="O230" s="7">
        <f t="shared" si="23"/>
        <v>9980</v>
      </c>
    </row>
    <row r="231">
      <c r="A231" s="6">
        <v>2025.0</v>
      </c>
      <c r="B231" s="6" t="s">
        <v>160</v>
      </c>
      <c r="C231" s="1" t="s">
        <v>205</v>
      </c>
      <c r="F231" s="6" t="s">
        <v>206</v>
      </c>
      <c r="H231" s="6" t="s">
        <v>245</v>
      </c>
      <c r="L231" s="6">
        <v>1.0</v>
      </c>
      <c r="M231" s="27">
        <v>2200.0</v>
      </c>
      <c r="O231" s="7">
        <f t="shared" si="23"/>
        <v>2200</v>
      </c>
    </row>
    <row r="232">
      <c r="A232" s="6">
        <v>2025.0</v>
      </c>
      <c r="B232" s="6" t="s">
        <v>160</v>
      </c>
      <c r="C232" s="1" t="s">
        <v>205</v>
      </c>
      <c r="F232" s="6" t="s">
        <v>206</v>
      </c>
      <c r="H232" s="6" t="s">
        <v>249</v>
      </c>
      <c r="L232" s="6">
        <v>1.0</v>
      </c>
      <c r="M232" s="27">
        <v>1200.0</v>
      </c>
      <c r="O232" s="7">
        <f t="shared" si="23"/>
        <v>1200</v>
      </c>
    </row>
    <row r="233">
      <c r="A233" s="6">
        <v>2025.0</v>
      </c>
      <c r="B233" s="6" t="s">
        <v>160</v>
      </c>
      <c r="C233" s="1" t="s">
        <v>205</v>
      </c>
      <c r="F233" s="6" t="s">
        <v>206</v>
      </c>
      <c r="H233" s="6" t="s">
        <v>254</v>
      </c>
      <c r="L233" s="6">
        <v>1.0</v>
      </c>
      <c r="M233" s="27">
        <v>5350.0</v>
      </c>
      <c r="O233" s="7">
        <f t="shared" si="23"/>
        <v>5350</v>
      </c>
    </row>
    <row r="234">
      <c r="A234" s="6">
        <v>2025.0</v>
      </c>
      <c r="B234" s="6" t="s">
        <v>160</v>
      </c>
      <c r="C234" s="1" t="s">
        <v>205</v>
      </c>
      <c r="F234" s="6" t="s">
        <v>206</v>
      </c>
      <c r="H234" s="6" t="s">
        <v>301</v>
      </c>
      <c r="L234" s="6">
        <v>1.0</v>
      </c>
      <c r="M234" s="27">
        <v>4950.0</v>
      </c>
      <c r="O234" s="7">
        <f t="shared" si="23"/>
        <v>4950</v>
      </c>
    </row>
    <row r="235">
      <c r="A235" s="6">
        <v>2025.0</v>
      </c>
      <c r="B235" s="6" t="s">
        <v>160</v>
      </c>
      <c r="C235" s="1" t="s">
        <v>205</v>
      </c>
      <c r="F235" s="6" t="s">
        <v>206</v>
      </c>
      <c r="H235" s="6" t="s">
        <v>312</v>
      </c>
      <c r="L235" s="6">
        <v>1.0</v>
      </c>
      <c r="M235" s="6">
        <v>2900.0</v>
      </c>
      <c r="O235" s="7">
        <f t="shared" si="23"/>
        <v>2900</v>
      </c>
    </row>
    <row r="236">
      <c r="A236" s="6">
        <v>2025.0</v>
      </c>
      <c r="B236" s="6" t="s">
        <v>160</v>
      </c>
      <c r="C236" s="1" t="s">
        <v>205</v>
      </c>
      <c r="F236" s="6" t="s">
        <v>206</v>
      </c>
      <c r="H236" s="6" t="s">
        <v>313</v>
      </c>
      <c r="L236" s="6">
        <v>1.0</v>
      </c>
      <c r="M236" s="27">
        <v>5450.0</v>
      </c>
      <c r="O236" s="7">
        <f t="shared" si="23"/>
        <v>5450</v>
      </c>
    </row>
    <row r="237">
      <c r="A237" s="6">
        <v>2025.0</v>
      </c>
      <c r="B237" s="6" t="s">
        <v>160</v>
      </c>
      <c r="C237" s="1" t="s">
        <v>205</v>
      </c>
      <c r="F237" s="6" t="s">
        <v>206</v>
      </c>
      <c r="H237" s="6" t="s">
        <v>308</v>
      </c>
      <c r="L237" s="6">
        <v>1.0</v>
      </c>
      <c r="M237" s="6">
        <v>4950.0</v>
      </c>
      <c r="O237" s="7">
        <f t="shared" si="23"/>
        <v>4950</v>
      </c>
    </row>
    <row r="238">
      <c r="A238" s="6">
        <v>2025.0</v>
      </c>
      <c r="B238" s="6" t="s">
        <v>160</v>
      </c>
      <c r="C238" s="1" t="s">
        <v>205</v>
      </c>
      <c r="F238" s="6" t="s">
        <v>206</v>
      </c>
      <c r="H238" s="6" t="s">
        <v>255</v>
      </c>
      <c r="L238" s="6">
        <v>1.0</v>
      </c>
      <c r="M238" s="15">
        <v>8700.0</v>
      </c>
      <c r="O238" s="7">
        <f t="shared" si="23"/>
        <v>8700</v>
      </c>
    </row>
    <row r="239">
      <c r="A239" s="6">
        <v>2025.0</v>
      </c>
      <c r="B239" s="6" t="s">
        <v>160</v>
      </c>
      <c r="C239" s="1" t="s">
        <v>205</v>
      </c>
      <c r="F239" s="6" t="s">
        <v>206</v>
      </c>
      <c r="H239" s="6" t="s">
        <v>307</v>
      </c>
      <c r="L239" s="6">
        <v>1.0</v>
      </c>
      <c r="M239" s="27">
        <v>1200.0</v>
      </c>
      <c r="O239" s="7">
        <f t="shared" si="23"/>
        <v>1200</v>
      </c>
    </row>
    <row r="240">
      <c r="A240" s="6">
        <v>2025.0</v>
      </c>
      <c r="B240" s="6" t="s">
        <v>160</v>
      </c>
      <c r="C240" s="1" t="s">
        <v>205</v>
      </c>
      <c r="F240" s="6" t="s">
        <v>206</v>
      </c>
      <c r="H240" s="6" t="s">
        <v>257</v>
      </c>
      <c r="L240" s="6">
        <v>1.0</v>
      </c>
      <c r="M240" s="15">
        <v>3790.0</v>
      </c>
      <c r="O240" s="7">
        <f t="shared" si="23"/>
        <v>3790</v>
      </c>
    </row>
    <row r="241">
      <c r="A241" s="6">
        <v>2025.0</v>
      </c>
      <c r="B241" s="6" t="s">
        <v>160</v>
      </c>
      <c r="C241" s="1" t="s">
        <v>205</v>
      </c>
      <c r="F241" s="6" t="s">
        <v>206</v>
      </c>
      <c r="H241" s="6" t="s">
        <v>297</v>
      </c>
      <c r="L241" s="6">
        <v>1.0</v>
      </c>
      <c r="M241" s="6">
        <v>4250.0</v>
      </c>
      <c r="O241" s="7">
        <f t="shared" si="23"/>
        <v>4250</v>
      </c>
    </row>
    <row r="242">
      <c r="A242" s="6">
        <v>2025.0</v>
      </c>
      <c r="B242" s="6" t="s">
        <v>160</v>
      </c>
      <c r="C242" s="1" t="s">
        <v>205</v>
      </c>
      <c r="F242" s="6" t="s">
        <v>206</v>
      </c>
      <c r="H242" s="6" t="s">
        <v>260</v>
      </c>
      <c r="L242" s="6">
        <v>3.0</v>
      </c>
      <c r="M242" s="6">
        <v>1950.0</v>
      </c>
      <c r="O242" s="7">
        <f t="shared" si="23"/>
        <v>5850</v>
      </c>
    </row>
    <row r="243">
      <c r="A243" s="6">
        <v>2025.0</v>
      </c>
      <c r="B243" s="6" t="s">
        <v>160</v>
      </c>
      <c r="C243" s="1" t="s">
        <v>205</v>
      </c>
      <c r="F243" s="6" t="s">
        <v>206</v>
      </c>
      <c r="H243" s="6" t="s">
        <v>261</v>
      </c>
      <c r="L243" s="6">
        <v>1.0</v>
      </c>
      <c r="M243" s="6">
        <v>7990.0</v>
      </c>
      <c r="O243" s="7">
        <f t="shared" si="23"/>
        <v>7990</v>
      </c>
    </row>
    <row r="244">
      <c r="A244" s="24" t="s">
        <v>204</v>
      </c>
      <c r="B244" s="24"/>
      <c r="C244" s="24"/>
      <c r="D244" s="24"/>
      <c r="E244" s="24"/>
      <c r="F244" s="25"/>
      <c r="G244" s="25"/>
      <c r="H244" s="25"/>
      <c r="I244" s="25"/>
      <c r="J244" s="25"/>
      <c r="K244" s="25"/>
      <c r="L244" s="25"/>
      <c r="M244" s="25"/>
      <c r="N244" s="28" t="str">
        <f>CHANGE(O194,O244)</f>
        <v>#NAME?</v>
      </c>
      <c r="O244" s="26">
        <f>SUM(O228:O243)</f>
        <v>86740</v>
      </c>
    </row>
    <row r="245">
      <c r="A245" s="6">
        <v>2025.0</v>
      </c>
      <c r="B245" s="6" t="s">
        <v>134</v>
      </c>
      <c r="C245" s="1" t="s">
        <v>205</v>
      </c>
      <c r="F245" s="6" t="s">
        <v>206</v>
      </c>
      <c r="H245" s="6" t="s">
        <v>251</v>
      </c>
      <c r="L245" s="6">
        <v>1.0</v>
      </c>
      <c r="M245" s="15">
        <v>4570.0</v>
      </c>
      <c r="O245" s="7">
        <f t="shared" ref="O245:O261" si="24">M245*L245</f>
        <v>4570</v>
      </c>
    </row>
    <row r="246">
      <c r="A246" s="6">
        <v>2025.0</v>
      </c>
      <c r="B246" s="6" t="s">
        <v>134</v>
      </c>
      <c r="C246" s="1" t="s">
        <v>205</v>
      </c>
      <c r="F246" s="6" t="s">
        <v>206</v>
      </c>
      <c r="H246" s="6" t="s">
        <v>314</v>
      </c>
      <c r="L246" s="6">
        <v>1.0</v>
      </c>
      <c r="M246" s="27">
        <v>3400.0</v>
      </c>
      <c r="O246" s="7">
        <f t="shared" si="24"/>
        <v>3400</v>
      </c>
    </row>
    <row r="247">
      <c r="A247" s="6">
        <v>2025.0</v>
      </c>
      <c r="B247" s="6" t="s">
        <v>134</v>
      </c>
      <c r="C247" s="1" t="s">
        <v>205</v>
      </c>
      <c r="F247" s="6" t="s">
        <v>206</v>
      </c>
      <c r="H247" s="6" t="s">
        <v>315</v>
      </c>
      <c r="L247" s="6">
        <v>1.0</v>
      </c>
      <c r="M247" s="27">
        <v>1800.0</v>
      </c>
      <c r="O247" s="7">
        <f t="shared" si="24"/>
        <v>1800</v>
      </c>
    </row>
    <row r="248">
      <c r="A248" s="6">
        <v>2025.0</v>
      </c>
      <c r="B248" s="6" t="s">
        <v>134</v>
      </c>
      <c r="C248" s="1" t="s">
        <v>205</v>
      </c>
      <c r="F248" s="6" t="s">
        <v>206</v>
      </c>
      <c r="H248" s="6" t="s">
        <v>253</v>
      </c>
      <c r="L248" s="6">
        <v>1.0</v>
      </c>
      <c r="M248" s="15">
        <v>6450.0</v>
      </c>
      <c r="O248" s="7">
        <f t="shared" si="24"/>
        <v>6450</v>
      </c>
    </row>
    <row r="249">
      <c r="A249" s="6">
        <v>2025.0</v>
      </c>
      <c r="B249" s="6" t="s">
        <v>134</v>
      </c>
      <c r="C249" s="1" t="s">
        <v>205</v>
      </c>
      <c r="F249" s="6" t="s">
        <v>206</v>
      </c>
      <c r="H249" s="6" t="s">
        <v>249</v>
      </c>
      <c r="L249" s="6">
        <v>1.0</v>
      </c>
      <c r="M249" s="27">
        <v>1200.0</v>
      </c>
      <c r="O249" s="7">
        <f t="shared" si="24"/>
        <v>1200</v>
      </c>
    </row>
    <row r="250">
      <c r="A250" s="6">
        <v>2025.0</v>
      </c>
      <c r="B250" s="6" t="s">
        <v>134</v>
      </c>
      <c r="C250" s="1" t="s">
        <v>205</v>
      </c>
      <c r="F250" s="6" t="s">
        <v>206</v>
      </c>
      <c r="H250" s="6" t="s">
        <v>254</v>
      </c>
      <c r="L250" s="6">
        <v>1.0</v>
      </c>
      <c r="M250" s="27">
        <v>5350.0</v>
      </c>
      <c r="O250" s="7">
        <f t="shared" si="24"/>
        <v>5350</v>
      </c>
    </row>
    <row r="251">
      <c r="A251" s="6">
        <v>2025.0</v>
      </c>
      <c r="B251" s="6" t="s">
        <v>134</v>
      </c>
      <c r="C251" s="1" t="s">
        <v>205</v>
      </c>
      <c r="F251" s="6" t="s">
        <v>206</v>
      </c>
      <c r="H251" s="6" t="s">
        <v>316</v>
      </c>
      <c r="L251" s="6">
        <v>2.0</v>
      </c>
      <c r="M251" s="27">
        <v>6990.0</v>
      </c>
      <c r="O251" s="7">
        <f t="shared" si="24"/>
        <v>13980</v>
      </c>
    </row>
    <row r="252">
      <c r="A252" s="6">
        <v>2025.0</v>
      </c>
      <c r="B252" s="6" t="s">
        <v>134</v>
      </c>
      <c r="C252" s="1" t="s">
        <v>205</v>
      </c>
      <c r="F252" s="6" t="s">
        <v>206</v>
      </c>
      <c r="H252" s="6" t="s">
        <v>310</v>
      </c>
      <c r="L252" s="6">
        <v>1.0</v>
      </c>
      <c r="M252" s="27">
        <v>9990.0</v>
      </c>
      <c r="O252" s="7">
        <f t="shared" si="24"/>
        <v>9990</v>
      </c>
    </row>
    <row r="253">
      <c r="A253" s="6">
        <v>2025.0</v>
      </c>
      <c r="B253" s="6" t="s">
        <v>134</v>
      </c>
      <c r="C253" s="1" t="s">
        <v>205</v>
      </c>
      <c r="F253" s="6" t="s">
        <v>206</v>
      </c>
      <c r="H253" s="6" t="s">
        <v>313</v>
      </c>
      <c r="L253" s="6">
        <v>1.0</v>
      </c>
      <c r="M253" s="27">
        <v>4950.0</v>
      </c>
      <c r="O253" s="7">
        <f t="shared" si="24"/>
        <v>4950</v>
      </c>
    </row>
    <row r="254">
      <c r="A254" s="6">
        <v>2025.0</v>
      </c>
      <c r="B254" s="6" t="s">
        <v>134</v>
      </c>
      <c r="C254" s="1" t="s">
        <v>205</v>
      </c>
      <c r="F254" s="6" t="s">
        <v>206</v>
      </c>
      <c r="H254" s="6" t="s">
        <v>308</v>
      </c>
      <c r="L254" s="6">
        <v>1.0</v>
      </c>
      <c r="M254" s="6">
        <v>4950.0</v>
      </c>
      <c r="O254" s="7">
        <f t="shared" si="24"/>
        <v>4950</v>
      </c>
    </row>
    <row r="255">
      <c r="A255" s="6">
        <v>2025.0</v>
      </c>
      <c r="B255" s="6" t="s">
        <v>134</v>
      </c>
      <c r="C255" s="1" t="s">
        <v>205</v>
      </c>
      <c r="F255" s="6" t="s">
        <v>206</v>
      </c>
      <c r="H255" s="6" t="s">
        <v>255</v>
      </c>
      <c r="L255" s="6">
        <v>1.0</v>
      </c>
      <c r="M255" s="15">
        <v>8700.0</v>
      </c>
      <c r="O255" s="7">
        <f t="shared" si="24"/>
        <v>8700</v>
      </c>
    </row>
    <row r="256">
      <c r="A256" s="6">
        <v>2025.0</v>
      </c>
      <c r="B256" s="6" t="s">
        <v>134</v>
      </c>
      <c r="C256" s="1" t="s">
        <v>205</v>
      </c>
      <c r="F256" s="6" t="s">
        <v>206</v>
      </c>
      <c r="H256" s="6" t="s">
        <v>252</v>
      </c>
      <c r="L256" s="6">
        <v>3.0</v>
      </c>
      <c r="M256" s="6">
        <v>1990.0</v>
      </c>
      <c r="O256" s="7">
        <f t="shared" si="24"/>
        <v>5970</v>
      </c>
    </row>
    <row r="257">
      <c r="A257" s="6">
        <v>2025.0</v>
      </c>
      <c r="B257" s="6" t="s">
        <v>134</v>
      </c>
      <c r="C257" s="1" t="s">
        <v>205</v>
      </c>
      <c r="F257" s="6" t="s">
        <v>206</v>
      </c>
      <c r="H257" s="6" t="s">
        <v>317</v>
      </c>
      <c r="L257" s="6">
        <v>1.0</v>
      </c>
      <c r="M257" s="27">
        <v>4490.0</v>
      </c>
      <c r="O257" s="7">
        <f t="shared" si="24"/>
        <v>4490</v>
      </c>
    </row>
    <row r="258">
      <c r="A258" s="6">
        <v>2025.0</v>
      </c>
      <c r="B258" s="6" t="s">
        <v>134</v>
      </c>
      <c r="C258" s="1" t="s">
        <v>205</v>
      </c>
      <c r="F258" s="6" t="s">
        <v>206</v>
      </c>
      <c r="H258" s="6" t="s">
        <v>318</v>
      </c>
      <c r="L258" s="6">
        <v>2.0</v>
      </c>
      <c r="M258" s="6">
        <v>2300.0</v>
      </c>
      <c r="O258" s="7">
        <f t="shared" si="24"/>
        <v>4600</v>
      </c>
    </row>
    <row r="259">
      <c r="A259" s="6">
        <v>2025.0</v>
      </c>
      <c r="B259" s="6" t="s">
        <v>134</v>
      </c>
      <c r="C259" s="1" t="s">
        <v>205</v>
      </c>
      <c r="F259" s="6" t="s">
        <v>206</v>
      </c>
      <c r="H259" s="6" t="s">
        <v>260</v>
      </c>
      <c r="L259" s="6">
        <v>3.0</v>
      </c>
      <c r="M259" s="6">
        <v>1950.0</v>
      </c>
      <c r="O259" s="7">
        <f t="shared" si="24"/>
        <v>5850</v>
      </c>
    </row>
    <row r="260">
      <c r="A260" s="6">
        <v>2025.0</v>
      </c>
      <c r="B260" s="6" t="s">
        <v>134</v>
      </c>
      <c r="C260" s="1" t="s">
        <v>205</v>
      </c>
      <c r="F260" s="6" t="s">
        <v>206</v>
      </c>
      <c r="H260" s="6" t="s">
        <v>261</v>
      </c>
      <c r="L260" s="6">
        <v>1.0</v>
      </c>
      <c r="M260" s="6">
        <v>7990.0</v>
      </c>
      <c r="O260" s="7">
        <f t="shared" si="24"/>
        <v>7990</v>
      </c>
    </row>
    <row r="261">
      <c r="A261" s="6">
        <v>2025.0</v>
      </c>
      <c r="B261" s="6" t="s">
        <v>134</v>
      </c>
      <c r="C261" s="1" t="s">
        <v>205</v>
      </c>
      <c r="F261" s="6" t="s">
        <v>206</v>
      </c>
      <c r="G261" s="11"/>
      <c r="H261" s="30" t="s">
        <v>319</v>
      </c>
      <c r="I261" s="11"/>
      <c r="J261" s="11"/>
      <c r="K261" s="11"/>
      <c r="L261" s="6">
        <v>2.0</v>
      </c>
      <c r="M261" s="6">
        <v>3750.0</v>
      </c>
      <c r="N261" s="31"/>
      <c r="O261" s="7">
        <f t="shared" si="24"/>
        <v>7500</v>
      </c>
    </row>
    <row r="262">
      <c r="A262" s="24" t="s">
        <v>204</v>
      </c>
      <c r="B262" s="24"/>
      <c r="C262" s="24"/>
      <c r="D262" s="24"/>
      <c r="E262" s="24"/>
      <c r="F262" s="25"/>
      <c r="G262" s="25"/>
      <c r="H262" s="25"/>
      <c r="I262" s="25"/>
      <c r="J262" s="25"/>
      <c r="K262" s="25"/>
      <c r="L262" s="25"/>
      <c r="M262" s="25"/>
      <c r="N262" s="28" t="str">
        <f>CHANGE(O211,O262)</f>
        <v>#NAME?</v>
      </c>
      <c r="O262" s="26">
        <f>SUM(O245:O261)</f>
        <v>101740</v>
      </c>
    </row>
    <row r="263">
      <c r="A263" s="6">
        <v>2025.0</v>
      </c>
      <c r="B263" s="6" t="s">
        <v>82</v>
      </c>
      <c r="C263" s="1" t="s">
        <v>205</v>
      </c>
      <c r="F263" s="6" t="s">
        <v>206</v>
      </c>
      <c r="G263" s="6" t="s">
        <v>296</v>
      </c>
      <c r="H263" s="6" t="s">
        <v>320</v>
      </c>
      <c r="L263" s="6">
        <v>1.0</v>
      </c>
      <c r="M263" s="27">
        <v>5150.0</v>
      </c>
      <c r="O263" s="7">
        <f t="shared" ref="O263:O281" si="25">M263*L263</f>
        <v>5150</v>
      </c>
    </row>
    <row r="264">
      <c r="A264" s="6">
        <v>2025.0</v>
      </c>
      <c r="B264" s="6" t="s">
        <v>82</v>
      </c>
      <c r="C264" s="1" t="s">
        <v>205</v>
      </c>
      <c r="F264" s="6" t="s">
        <v>206</v>
      </c>
      <c r="H264" s="6" t="s">
        <v>246</v>
      </c>
      <c r="L264" s="6">
        <v>1.0</v>
      </c>
      <c r="M264" s="15">
        <v>1250.0</v>
      </c>
      <c r="O264" s="7">
        <f t="shared" si="25"/>
        <v>1250</v>
      </c>
    </row>
    <row r="265">
      <c r="A265" s="6">
        <v>2025.0</v>
      </c>
      <c r="B265" s="6" t="s">
        <v>82</v>
      </c>
      <c r="C265" s="1" t="s">
        <v>205</v>
      </c>
      <c r="F265" s="6" t="s">
        <v>206</v>
      </c>
      <c r="G265" s="6" t="s">
        <v>296</v>
      </c>
      <c r="H265" s="6" t="s">
        <v>321</v>
      </c>
      <c r="L265" s="6">
        <v>2.0</v>
      </c>
      <c r="M265" s="27">
        <v>4250.0</v>
      </c>
      <c r="O265" s="7">
        <f t="shared" si="25"/>
        <v>8500</v>
      </c>
    </row>
    <row r="266">
      <c r="A266" s="6">
        <v>2025.0</v>
      </c>
      <c r="B266" s="6" t="s">
        <v>82</v>
      </c>
      <c r="C266" s="1" t="s">
        <v>205</v>
      </c>
      <c r="F266" s="6" t="s">
        <v>206</v>
      </c>
      <c r="G266" s="6" t="s">
        <v>299</v>
      </c>
      <c r="H266" s="6" t="s">
        <v>301</v>
      </c>
      <c r="L266" s="6">
        <v>1.0</v>
      </c>
      <c r="M266" s="27">
        <v>4950.0</v>
      </c>
      <c r="O266" s="7">
        <f t="shared" si="25"/>
        <v>4950</v>
      </c>
    </row>
    <row r="267">
      <c r="A267" s="6">
        <v>2025.0</v>
      </c>
      <c r="B267" s="6" t="s">
        <v>82</v>
      </c>
      <c r="C267" s="1" t="s">
        <v>205</v>
      </c>
      <c r="F267" s="6" t="s">
        <v>206</v>
      </c>
      <c r="H267" s="6" t="s">
        <v>249</v>
      </c>
      <c r="L267" s="6">
        <v>1.0</v>
      </c>
      <c r="M267" s="15">
        <v>1250.0</v>
      </c>
      <c r="O267" s="7">
        <f t="shared" si="25"/>
        <v>1250</v>
      </c>
    </row>
    <row r="268">
      <c r="A268" s="6">
        <v>2025.0</v>
      </c>
      <c r="B268" s="6" t="s">
        <v>82</v>
      </c>
      <c r="C268" s="1" t="s">
        <v>205</v>
      </c>
      <c r="F268" s="6" t="s">
        <v>206</v>
      </c>
      <c r="G268" s="6" t="s">
        <v>296</v>
      </c>
      <c r="H268" s="6" t="s">
        <v>322</v>
      </c>
      <c r="L268" s="6">
        <v>1.0</v>
      </c>
      <c r="M268" s="27">
        <v>13940.0</v>
      </c>
      <c r="O268" s="7">
        <f t="shared" si="25"/>
        <v>13940</v>
      </c>
    </row>
    <row r="269">
      <c r="A269" s="6">
        <v>2025.0</v>
      </c>
      <c r="B269" s="6" t="s">
        <v>82</v>
      </c>
      <c r="C269" s="1" t="s">
        <v>205</v>
      </c>
      <c r="F269" s="6" t="s">
        <v>206</v>
      </c>
      <c r="H269" s="6" t="s">
        <v>323</v>
      </c>
      <c r="L269" s="6">
        <v>1.0</v>
      </c>
      <c r="M269" s="27">
        <v>4490.0</v>
      </c>
      <c r="O269" s="7">
        <f t="shared" si="25"/>
        <v>4490</v>
      </c>
    </row>
    <row r="270">
      <c r="A270" s="6">
        <v>2025.0</v>
      </c>
      <c r="B270" s="6" t="s">
        <v>82</v>
      </c>
      <c r="C270" s="1" t="s">
        <v>205</v>
      </c>
      <c r="F270" s="6" t="s">
        <v>206</v>
      </c>
      <c r="G270" s="6" t="s">
        <v>324</v>
      </c>
      <c r="H270" s="6" t="s">
        <v>252</v>
      </c>
      <c r="L270" s="6">
        <v>3.0</v>
      </c>
      <c r="M270" s="6">
        <v>1990.0</v>
      </c>
      <c r="O270" s="7">
        <f t="shared" si="25"/>
        <v>5970</v>
      </c>
    </row>
    <row r="271">
      <c r="A271" s="6">
        <v>2025.0</v>
      </c>
      <c r="B271" s="6" t="s">
        <v>82</v>
      </c>
      <c r="C271" s="1" t="s">
        <v>205</v>
      </c>
      <c r="F271" s="6" t="s">
        <v>206</v>
      </c>
      <c r="G271" s="6" t="s">
        <v>325</v>
      </c>
      <c r="H271" s="6" t="s">
        <v>326</v>
      </c>
      <c r="L271" s="6">
        <v>1.0</v>
      </c>
      <c r="M271" s="27">
        <v>8990.0</v>
      </c>
      <c r="O271" s="7">
        <f t="shared" si="25"/>
        <v>8990</v>
      </c>
    </row>
    <row r="272">
      <c r="A272" s="6">
        <v>2025.0</v>
      </c>
      <c r="B272" s="6" t="s">
        <v>82</v>
      </c>
      <c r="C272" s="1" t="s">
        <v>205</v>
      </c>
      <c r="F272" s="6" t="s">
        <v>206</v>
      </c>
      <c r="G272" s="6" t="s">
        <v>299</v>
      </c>
      <c r="H272" s="6" t="s">
        <v>254</v>
      </c>
      <c r="L272" s="6">
        <v>1.0</v>
      </c>
      <c r="M272" s="15">
        <v>5350.0</v>
      </c>
      <c r="O272" s="7">
        <f t="shared" si="25"/>
        <v>5350</v>
      </c>
    </row>
    <row r="273">
      <c r="A273" s="6">
        <v>2025.0</v>
      </c>
      <c r="B273" s="6" t="s">
        <v>82</v>
      </c>
      <c r="C273" s="1" t="s">
        <v>205</v>
      </c>
      <c r="F273" s="6" t="s">
        <v>206</v>
      </c>
      <c r="H273" s="6" t="s">
        <v>255</v>
      </c>
      <c r="L273" s="6">
        <v>1.0</v>
      </c>
      <c r="M273" s="15">
        <v>8700.0</v>
      </c>
      <c r="O273" s="7">
        <f t="shared" si="25"/>
        <v>8700</v>
      </c>
    </row>
    <row r="274">
      <c r="A274" s="6">
        <v>2025.0</v>
      </c>
      <c r="B274" s="6" t="s">
        <v>82</v>
      </c>
      <c r="C274" s="1" t="s">
        <v>205</v>
      </c>
      <c r="F274" s="6" t="s">
        <v>206</v>
      </c>
      <c r="G274" s="6" t="s">
        <v>325</v>
      </c>
      <c r="H274" s="6" t="s">
        <v>327</v>
      </c>
      <c r="L274" s="6">
        <v>1.0</v>
      </c>
      <c r="M274" s="27">
        <v>13980.0</v>
      </c>
      <c r="O274" s="7">
        <f t="shared" si="25"/>
        <v>13980</v>
      </c>
    </row>
    <row r="275">
      <c r="A275" s="6">
        <v>2025.0</v>
      </c>
      <c r="B275" s="6" t="s">
        <v>82</v>
      </c>
      <c r="C275" s="1" t="s">
        <v>205</v>
      </c>
      <c r="F275" s="6" t="s">
        <v>206</v>
      </c>
      <c r="H275" s="6" t="s">
        <v>257</v>
      </c>
      <c r="L275" s="6">
        <v>1.0</v>
      </c>
      <c r="M275" s="15">
        <v>3790.0</v>
      </c>
      <c r="O275" s="7">
        <f t="shared" si="25"/>
        <v>3790</v>
      </c>
    </row>
    <row r="276">
      <c r="A276" s="6">
        <v>2025.0</v>
      </c>
      <c r="B276" s="6" t="s">
        <v>82</v>
      </c>
      <c r="C276" s="1" t="s">
        <v>205</v>
      </c>
      <c r="F276" s="6" t="s">
        <v>206</v>
      </c>
      <c r="H276" s="6" t="s">
        <v>258</v>
      </c>
      <c r="L276" s="6">
        <v>1.0</v>
      </c>
      <c r="M276" s="15">
        <v>4750.0</v>
      </c>
      <c r="O276" s="7">
        <f t="shared" si="25"/>
        <v>4750</v>
      </c>
    </row>
    <row r="277">
      <c r="A277" s="6">
        <v>2025.0</v>
      </c>
      <c r="B277" s="6" t="s">
        <v>82</v>
      </c>
      <c r="C277" s="1" t="s">
        <v>205</v>
      </c>
      <c r="F277" s="6" t="s">
        <v>206</v>
      </c>
      <c r="H277" s="6" t="s">
        <v>311</v>
      </c>
      <c r="L277" s="6">
        <v>1.0</v>
      </c>
      <c r="M277" s="6">
        <v>1490.0</v>
      </c>
      <c r="O277" s="7">
        <f t="shared" si="25"/>
        <v>1490</v>
      </c>
    </row>
    <row r="278">
      <c r="A278" s="6">
        <v>2025.0</v>
      </c>
      <c r="B278" s="6" t="s">
        <v>82</v>
      </c>
      <c r="C278" s="1" t="s">
        <v>205</v>
      </c>
      <c r="F278" s="6" t="s">
        <v>206</v>
      </c>
      <c r="G278" s="6" t="s">
        <v>328</v>
      </c>
      <c r="H278" s="6" t="s">
        <v>260</v>
      </c>
      <c r="L278" s="6">
        <v>3.0</v>
      </c>
      <c r="M278" s="6">
        <v>1950.0</v>
      </c>
      <c r="O278" s="7">
        <f t="shared" si="25"/>
        <v>5850</v>
      </c>
    </row>
    <row r="279">
      <c r="A279" s="6">
        <v>2025.0</v>
      </c>
      <c r="B279" s="6" t="s">
        <v>82</v>
      </c>
      <c r="C279" s="1" t="s">
        <v>205</v>
      </c>
      <c r="F279" s="6" t="s">
        <v>206</v>
      </c>
      <c r="G279" s="6" t="s">
        <v>207</v>
      </c>
      <c r="H279" s="6" t="s">
        <v>261</v>
      </c>
      <c r="L279" s="6">
        <v>1.0</v>
      </c>
      <c r="M279" s="6">
        <v>7990.0</v>
      </c>
      <c r="O279" s="7">
        <f t="shared" si="25"/>
        <v>7990</v>
      </c>
    </row>
    <row r="280">
      <c r="A280" s="6">
        <v>2025.0</v>
      </c>
      <c r="B280" s="6" t="s">
        <v>82</v>
      </c>
      <c r="C280" s="1" t="s">
        <v>205</v>
      </c>
      <c r="F280" s="6" t="s">
        <v>206</v>
      </c>
      <c r="G280" s="6" t="s">
        <v>328</v>
      </c>
      <c r="H280" s="6" t="s">
        <v>313</v>
      </c>
      <c r="L280" s="6">
        <v>1.0</v>
      </c>
      <c r="M280" s="27">
        <v>4950.0</v>
      </c>
      <c r="O280" s="7">
        <f t="shared" si="25"/>
        <v>4950</v>
      </c>
    </row>
    <row r="281">
      <c r="A281" s="6">
        <v>2025.0</v>
      </c>
      <c r="B281" s="6" t="s">
        <v>82</v>
      </c>
      <c r="C281" s="1" t="s">
        <v>205</v>
      </c>
      <c r="F281" s="6" t="s">
        <v>206</v>
      </c>
      <c r="H281" s="6" t="s">
        <v>314</v>
      </c>
      <c r="L281" s="6">
        <v>1.0</v>
      </c>
      <c r="M281" s="27">
        <v>3400.0</v>
      </c>
      <c r="O281" s="7">
        <f t="shared" si="25"/>
        <v>3400</v>
      </c>
    </row>
    <row r="282">
      <c r="A282" s="24" t="s">
        <v>204</v>
      </c>
      <c r="B282" s="24"/>
      <c r="C282" s="24"/>
      <c r="D282" s="24"/>
      <c r="E282" s="24"/>
      <c r="F282" s="25"/>
      <c r="G282" s="25"/>
      <c r="H282" s="25"/>
      <c r="I282" s="25"/>
      <c r="J282" s="25"/>
      <c r="K282" s="25"/>
      <c r="L282" s="25"/>
      <c r="M282" s="25"/>
      <c r="N282" s="28" t="str">
        <f>CHANGE(#REF!,O282)</f>
        <v>#NAME?</v>
      </c>
      <c r="O282" s="26">
        <f>SUM(O263:O281)</f>
        <v>114740</v>
      </c>
    </row>
    <row r="283">
      <c r="A283" s="6">
        <v>2025.0</v>
      </c>
      <c r="B283" s="6" t="s">
        <v>134</v>
      </c>
      <c r="C283" s="1" t="s">
        <v>284</v>
      </c>
      <c r="F283" s="6" t="s">
        <v>206</v>
      </c>
      <c r="H283" s="6" t="s">
        <v>327</v>
      </c>
      <c r="L283" s="6">
        <v>1.0</v>
      </c>
      <c r="M283" s="27">
        <v>7990.0</v>
      </c>
      <c r="O283" s="7">
        <f t="shared" ref="O283:O300" si="26">M283*L283</f>
        <v>7990</v>
      </c>
    </row>
    <row r="284">
      <c r="A284" s="6">
        <v>2025.0</v>
      </c>
      <c r="B284" s="6" t="s">
        <v>134</v>
      </c>
      <c r="C284" s="1" t="s">
        <v>284</v>
      </c>
      <c r="F284" s="6" t="s">
        <v>206</v>
      </c>
      <c r="H284" s="6" t="s">
        <v>329</v>
      </c>
      <c r="L284" s="6">
        <v>1.0</v>
      </c>
      <c r="M284" s="27">
        <v>5550.0</v>
      </c>
      <c r="O284" s="7">
        <f t="shared" si="26"/>
        <v>5550</v>
      </c>
    </row>
    <row r="285">
      <c r="A285" s="6">
        <v>2025.0</v>
      </c>
      <c r="B285" s="6" t="s">
        <v>134</v>
      </c>
      <c r="C285" s="1" t="s">
        <v>284</v>
      </c>
      <c r="F285" s="6" t="s">
        <v>206</v>
      </c>
      <c r="H285" s="6" t="s">
        <v>309</v>
      </c>
      <c r="L285" s="6">
        <v>1.0</v>
      </c>
      <c r="M285" s="27">
        <v>5990.0</v>
      </c>
      <c r="O285" s="7">
        <f t="shared" si="26"/>
        <v>5990</v>
      </c>
    </row>
    <row r="286">
      <c r="A286" s="6">
        <v>2025.0</v>
      </c>
      <c r="B286" s="6" t="s">
        <v>134</v>
      </c>
      <c r="C286" s="1" t="s">
        <v>284</v>
      </c>
      <c r="F286" s="6" t="s">
        <v>206</v>
      </c>
      <c r="H286" s="6" t="s">
        <v>307</v>
      </c>
      <c r="L286" s="6">
        <v>1.0</v>
      </c>
      <c r="M286" s="27">
        <v>1200.0</v>
      </c>
      <c r="O286" s="7">
        <f t="shared" si="26"/>
        <v>1200</v>
      </c>
    </row>
    <row r="287">
      <c r="A287" s="6">
        <v>2025.0</v>
      </c>
      <c r="B287" s="6" t="s">
        <v>134</v>
      </c>
      <c r="C287" s="1" t="s">
        <v>284</v>
      </c>
      <c r="F287" s="6" t="s">
        <v>206</v>
      </c>
      <c r="H287" s="6" t="s">
        <v>249</v>
      </c>
      <c r="L287" s="6">
        <v>1.0</v>
      </c>
      <c r="M287" s="27">
        <v>1200.0</v>
      </c>
      <c r="O287" s="7">
        <f t="shared" si="26"/>
        <v>1200</v>
      </c>
    </row>
    <row r="288">
      <c r="A288" s="6">
        <v>2025.0</v>
      </c>
      <c r="B288" s="6" t="s">
        <v>134</v>
      </c>
      <c r="C288" s="1" t="s">
        <v>284</v>
      </c>
      <c r="F288" s="6" t="s">
        <v>206</v>
      </c>
      <c r="H288" s="6" t="s">
        <v>254</v>
      </c>
      <c r="L288" s="6">
        <v>1.0</v>
      </c>
      <c r="M288" s="27">
        <v>5350.0</v>
      </c>
      <c r="O288" s="7">
        <f t="shared" si="26"/>
        <v>5350</v>
      </c>
    </row>
    <row r="289">
      <c r="A289" s="6">
        <v>2025.0</v>
      </c>
      <c r="B289" s="6" t="s">
        <v>134</v>
      </c>
      <c r="C289" s="1" t="s">
        <v>284</v>
      </c>
      <c r="F289" s="6" t="s">
        <v>206</v>
      </c>
      <c r="H289" s="6" t="s">
        <v>316</v>
      </c>
      <c r="L289" s="6">
        <v>1.0</v>
      </c>
      <c r="M289" s="27">
        <v>7990.0</v>
      </c>
      <c r="O289" s="7">
        <f t="shared" si="26"/>
        <v>7990</v>
      </c>
    </row>
    <row r="290">
      <c r="A290" s="6">
        <v>2025.0</v>
      </c>
      <c r="B290" s="6" t="s">
        <v>134</v>
      </c>
      <c r="C290" s="1" t="s">
        <v>284</v>
      </c>
      <c r="F290" s="6" t="s">
        <v>206</v>
      </c>
      <c r="H290" s="6" t="s">
        <v>311</v>
      </c>
      <c r="L290" s="6">
        <v>1.0</v>
      </c>
      <c r="M290" s="6">
        <v>1750.0</v>
      </c>
      <c r="O290" s="7">
        <f t="shared" si="26"/>
        <v>1750</v>
      </c>
    </row>
    <row r="291">
      <c r="A291" s="6">
        <v>2025.0</v>
      </c>
      <c r="B291" s="6" t="s">
        <v>134</v>
      </c>
      <c r="C291" s="1" t="s">
        <v>284</v>
      </c>
      <c r="F291" s="6" t="s">
        <v>206</v>
      </c>
      <c r="H291" s="6" t="s">
        <v>245</v>
      </c>
      <c r="L291" s="6">
        <v>1.0</v>
      </c>
      <c r="M291" s="15">
        <v>2200.0</v>
      </c>
      <c r="O291" s="7">
        <f t="shared" si="26"/>
        <v>2200</v>
      </c>
    </row>
    <row r="292">
      <c r="A292" s="6">
        <v>2025.0</v>
      </c>
      <c r="B292" s="6" t="s">
        <v>134</v>
      </c>
      <c r="C292" s="1" t="s">
        <v>284</v>
      </c>
      <c r="F292" s="6" t="s">
        <v>206</v>
      </c>
      <c r="H292" s="6" t="s">
        <v>308</v>
      </c>
      <c r="L292" s="6">
        <v>1.0</v>
      </c>
      <c r="M292" s="6">
        <v>4950.0</v>
      </c>
      <c r="O292" s="7">
        <f t="shared" si="26"/>
        <v>4950</v>
      </c>
    </row>
    <row r="293">
      <c r="A293" s="6">
        <v>2025.0</v>
      </c>
      <c r="B293" s="6" t="s">
        <v>134</v>
      </c>
      <c r="C293" s="1" t="s">
        <v>284</v>
      </c>
      <c r="F293" s="6" t="s">
        <v>206</v>
      </c>
      <c r="H293" s="6" t="s">
        <v>255</v>
      </c>
      <c r="L293" s="6">
        <v>1.0</v>
      </c>
      <c r="M293" s="15">
        <v>8700.0</v>
      </c>
      <c r="O293" s="7">
        <f t="shared" si="26"/>
        <v>8700</v>
      </c>
    </row>
    <row r="294">
      <c r="A294" s="6">
        <v>2025.0</v>
      </c>
      <c r="B294" s="6" t="s">
        <v>134</v>
      </c>
      <c r="C294" s="1" t="s">
        <v>284</v>
      </c>
      <c r="F294" s="6" t="s">
        <v>206</v>
      </c>
      <c r="H294" s="6" t="s">
        <v>252</v>
      </c>
      <c r="L294" s="6">
        <v>3.0</v>
      </c>
      <c r="M294" s="6">
        <v>1990.0</v>
      </c>
      <c r="O294" s="7">
        <f t="shared" si="26"/>
        <v>5970</v>
      </c>
    </row>
    <row r="295">
      <c r="A295" s="6">
        <v>2025.0</v>
      </c>
      <c r="B295" s="6" t="s">
        <v>134</v>
      </c>
      <c r="C295" s="1" t="s">
        <v>284</v>
      </c>
      <c r="F295" s="6" t="s">
        <v>206</v>
      </c>
      <c r="H295" s="6" t="s">
        <v>301</v>
      </c>
      <c r="L295" s="6">
        <v>1.0</v>
      </c>
      <c r="M295" s="27">
        <v>4950.0</v>
      </c>
      <c r="O295" s="7">
        <f t="shared" si="26"/>
        <v>4950</v>
      </c>
    </row>
    <row r="296">
      <c r="A296" s="6">
        <v>2025.0</v>
      </c>
      <c r="B296" s="6" t="s">
        <v>134</v>
      </c>
      <c r="C296" s="1" t="s">
        <v>284</v>
      </c>
      <c r="F296" s="6" t="s">
        <v>206</v>
      </c>
      <c r="G296" s="6" t="s">
        <v>296</v>
      </c>
      <c r="H296" s="6" t="s">
        <v>320</v>
      </c>
      <c r="L296" s="6">
        <v>1.0</v>
      </c>
      <c r="M296" s="27">
        <v>5100.0</v>
      </c>
      <c r="O296" s="7">
        <f t="shared" si="26"/>
        <v>5100</v>
      </c>
    </row>
    <row r="297">
      <c r="A297" s="6">
        <v>2025.0</v>
      </c>
      <c r="B297" s="6" t="s">
        <v>134</v>
      </c>
      <c r="C297" s="1" t="s">
        <v>284</v>
      </c>
      <c r="F297" s="6" t="s">
        <v>206</v>
      </c>
      <c r="H297" s="6" t="s">
        <v>260</v>
      </c>
      <c r="L297" s="6">
        <v>3.0</v>
      </c>
      <c r="M297" s="6">
        <v>1950.0</v>
      </c>
      <c r="O297" s="7">
        <f t="shared" si="26"/>
        <v>5850</v>
      </c>
    </row>
    <row r="298">
      <c r="A298" s="6">
        <v>2025.0</v>
      </c>
      <c r="B298" s="6" t="s">
        <v>134</v>
      </c>
      <c r="C298" s="1" t="s">
        <v>284</v>
      </c>
      <c r="F298" s="6" t="s">
        <v>206</v>
      </c>
      <c r="H298" s="6" t="s">
        <v>261</v>
      </c>
      <c r="L298" s="6">
        <v>1.0</v>
      </c>
      <c r="M298" s="6">
        <v>7990.0</v>
      </c>
      <c r="O298" s="7">
        <f t="shared" si="26"/>
        <v>7990</v>
      </c>
    </row>
    <row r="299">
      <c r="A299" s="6">
        <v>2025.0</v>
      </c>
      <c r="B299" s="6" t="s">
        <v>134</v>
      </c>
      <c r="C299" s="1" t="s">
        <v>284</v>
      </c>
      <c r="F299" s="6" t="s">
        <v>206</v>
      </c>
      <c r="G299" s="11"/>
      <c r="H299" s="6" t="s">
        <v>330</v>
      </c>
      <c r="I299" s="11"/>
      <c r="J299" s="11"/>
      <c r="K299" s="11"/>
      <c r="L299" s="6">
        <v>1.0</v>
      </c>
      <c r="M299" s="6">
        <v>2250.0</v>
      </c>
      <c r="N299" s="31"/>
      <c r="O299" s="7">
        <f t="shared" si="26"/>
        <v>2250</v>
      </c>
    </row>
    <row r="300">
      <c r="A300" s="6">
        <v>2025.0</v>
      </c>
      <c r="B300" s="6" t="s">
        <v>134</v>
      </c>
      <c r="C300" s="1" t="s">
        <v>284</v>
      </c>
      <c r="F300" s="6" t="s">
        <v>206</v>
      </c>
      <c r="G300" s="11"/>
      <c r="H300" s="6" t="s">
        <v>331</v>
      </c>
      <c r="I300" s="11"/>
      <c r="J300" s="11"/>
      <c r="K300" s="11"/>
      <c r="L300" s="6">
        <v>1.0</v>
      </c>
      <c r="M300" s="6">
        <v>7490.0</v>
      </c>
      <c r="N300" s="31"/>
      <c r="O300" s="7">
        <f t="shared" si="26"/>
        <v>7490</v>
      </c>
    </row>
    <row r="301">
      <c r="A301" s="24" t="s">
        <v>204</v>
      </c>
      <c r="B301" s="24"/>
      <c r="C301" s="24"/>
      <c r="D301" s="24"/>
      <c r="E301" s="24"/>
      <c r="F301" s="25"/>
      <c r="G301" s="25"/>
      <c r="H301" s="25"/>
      <c r="I301" s="25"/>
      <c r="J301" s="25"/>
      <c r="K301" s="25"/>
      <c r="L301" s="25"/>
      <c r="M301" s="25"/>
      <c r="N301" s="28" t="str">
        <f>CHANGE(O246,O301)</f>
        <v>#NAME?</v>
      </c>
      <c r="O301" s="26">
        <f>SUM(O283:O300)</f>
        <v>92470</v>
      </c>
    </row>
    <row r="302">
      <c r="A302" s="6">
        <v>2025.0</v>
      </c>
      <c r="B302" s="6" t="s">
        <v>124</v>
      </c>
      <c r="C302" s="1" t="s">
        <v>205</v>
      </c>
      <c r="F302" s="6" t="s">
        <v>206</v>
      </c>
      <c r="H302" s="6" t="s">
        <v>251</v>
      </c>
      <c r="L302" s="6">
        <v>1.0</v>
      </c>
      <c r="M302" s="15">
        <v>4570.0</v>
      </c>
      <c r="O302" s="7">
        <f t="shared" ref="O302:O318" si="27">M302*L302</f>
        <v>4570</v>
      </c>
    </row>
    <row r="303">
      <c r="A303" s="6">
        <v>2025.0</v>
      </c>
      <c r="B303" s="6" t="s">
        <v>124</v>
      </c>
      <c r="C303" s="1" t="s">
        <v>205</v>
      </c>
      <c r="F303" s="6" t="s">
        <v>206</v>
      </c>
      <c r="H303" s="6" t="s">
        <v>256</v>
      </c>
      <c r="L303" s="6">
        <v>1.0</v>
      </c>
      <c r="M303" s="15">
        <v>2600.0</v>
      </c>
      <c r="O303" s="7">
        <f t="shared" si="27"/>
        <v>2600</v>
      </c>
    </row>
    <row r="304">
      <c r="A304" s="6">
        <v>2025.0</v>
      </c>
      <c r="B304" s="6" t="s">
        <v>124</v>
      </c>
      <c r="C304" s="1" t="s">
        <v>205</v>
      </c>
      <c r="F304" s="6" t="s">
        <v>206</v>
      </c>
      <c r="H304" s="6" t="s">
        <v>309</v>
      </c>
      <c r="L304" s="6">
        <v>1.0</v>
      </c>
      <c r="M304" s="27">
        <v>5990.0</v>
      </c>
      <c r="O304" s="7">
        <f t="shared" si="27"/>
        <v>5990</v>
      </c>
    </row>
    <row r="305">
      <c r="A305" s="6">
        <v>2025.0</v>
      </c>
      <c r="B305" s="6" t="s">
        <v>124</v>
      </c>
      <c r="C305" s="1" t="s">
        <v>205</v>
      </c>
      <c r="F305" s="6" t="s">
        <v>206</v>
      </c>
      <c r="H305" s="6" t="s">
        <v>332</v>
      </c>
      <c r="L305" s="6">
        <v>1.0</v>
      </c>
      <c r="M305" s="27">
        <v>2900.0</v>
      </c>
      <c r="O305" s="7">
        <f t="shared" si="27"/>
        <v>2900</v>
      </c>
    </row>
    <row r="306">
      <c r="A306" s="6">
        <v>2025.0</v>
      </c>
      <c r="B306" s="6" t="s">
        <v>124</v>
      </c>
      <c r="C306" s="1" t="s">
        <v>205</v>
      </c>
      <c r="F306" s="6" t="s">
        <v>206</v>
      </c>
      <c r="H306" s="6" t="s">
        <v>312</v>
      </c>
      <c r="L306" s="6">
        <v>1.0</v>
      </c>
      <c r="M306" s="6">
        <v>2790.0</v>
      </c>
      <c r="O306" s="7">
        <f t="shared" si="27"/>
        <v>2790</v>
      </c>
    </row>
    <row r="307">
      <c r="A307" s="6">
        <v>2025.0</v>
      </c>
      <c r="B307" s="6" t="s">
        <v>124</v>
      </c>
      <c r="C307" s="1" t="s">
        <v>205</v>
      </c>
      <c r="F307" s="6" t="s">
        <v>206</v>
      </c>
      <c r="H307" s="6" t="s">
        <v>253</v>
      </c>
      <c r="L307" s="6">
        <v>1.0</v>
      </c>
      <c r="M307" s="27">
        <v>6450.0</v>
      </c>
      <c r="O307" s="7">
        <f t="shared" si="27"/>
        <v>6450</v>
      </c>
    </row>
    <row r="308">
      <c r="A308" s="6">
        <v>2025.0</v>
      </c>
      <c r="B308" s="6" t="s">
        <v>124</v>
      </c>
      <c r="C308" s="1" t="s">
        <v>205</v>
      </c>
      <c r="F308" s="6" t="s">
        <v>206</v>
      </c>
      <c r="H308" s="6" t="s">
        <v>316</v>
      </c>
      <c r="L308" s="6">
        <v>2.0</v>
      </c>
      <c r="M308" s="27">
        <v>6990.0</v>
      </c>
      <c r="O308" s="7">
        <f t="shared" si="27"/>
        <v>13980</v>
      </c>
    </row>
    <row r="309">
      <c r="A309" s="6">
        <v>2025.0</v>
      </c>
      <c r="B309" s="6" t="s">
        <v>124</v>
      </c>
      <c r="C309" s="1" t="s">
        <v>205</v>
      </c>
      <c r="F309" s="6" t="s">
        <v>206</v>
      </c>
      <c r="H309" s="6" t="s">
        <v>333</v>
      </c>
      <c r="L309" s="6">
        <v>1.0</v>
      </c>
      <c r="M309" s="6">
        <v>2100.0</v>
      </c>
      <c r="O309" s="7">
        <f t="shared" si="27"/>
        <v>2100</v>
      </c>
    </row>
    <row r="310">
      <c r="A310" s="6">
        <v>2025.0</v>
      </c>
      <c r="B310" s="6" t="s">
        <v>124</v>
      </c>
      <c r="C310" s="1" t="s">
        <v>205</v>
      </c>
      <c r="F310" s="6" t="s">
        <v>206</v>
      </c>
      <c r="H310" s="6" t="s">
        <v>245</v>
      </c>
      <c r="L310" s="6">
        <v>1.0</v>
      </c>
      <c r="M310" s="15">
        <v>2200.0</v>
      </c>
      <c r="O310" s="7">
        <f t="shared" si="27"/>
        <v>2200</v>
      </c>
    </row>
    <row r="311">
      <c r="A311" s="6">
        <v>2025.0</v>
      </c>
      <c r="B311" s="6" t="s">
        <v>124</v>
      </c>
      <c r="C311" s="1" t="s">
        <v>205</v>
      </c>
      <c r="F311" s="6" t="s">
        <v>206</v>
      </c>
      <c r="H311" s="6" t="s">
        <v>308</v>
      </c>
      <c r="L311" s="6">
        <v>1.0</v>
      </c>
      <c r="M311" s="6">
        <v>4950.0</v>
      </c>
      <c r="O311" s="7">
        <f t="shared" si="27"/>
        <v>4950</v>
      </c>
    </row>
    <row r="312">
      <c r="A312" s="6">
        <v>2025.0</v>
      </c>
      <c r="B312" s="6" t="s">
        <v>124</v>
      </c>
      <c r="C312" s="1" t="s">
        <v>205</v>
      </c>
      <c r="F312" s="6" t="s">
        <v>206</v>
      </c>
      <c r="H312" s="6" t="s">
        <v>314</v>
      </c>
      <c r="L312" s="6">
        <v>2.0</v>
      </c>
      <c r="M312" s="27">
        <v>3400.0</v>
      </c>
      <c r="O312" s="7">
        <f t="shared" si="27"/>
        <v>6800</v>
      </c>
    </row>
    <row r="313">
      <c r="A313" s="6">
        <v>2025.0</v>
      </c>
      <c r="B313" s="6" t="s">
        <v>124</v>
      </c>
      <c r="C313" s="1" t="s">
        <v>205</v>
      </c>
      <c r="F313" s="6" t="s">
        <v>206</v>
      </c>
      <c r="H313" s="6" t="s">
        <v>252</v>
      </c>
      <c r="L313" s="6">
        <v>3.0</v>
      </c>
      <c r="M313" s="6">
        <v>1990.0</v>
      </c>
      <c r="O313" s="7">
        <f t="shared" si="27"/>
        <v>5970</v>
      </c>
    </row>
    <row r="314">
      <c r="A314" s="6">
        <v>2025.0</v>
      </c>
      <c r="B314" s="6" t="s">
        <v>124</v>
      </c>
      <c r="C314" s="1" t="s">
        <v>205</v>
      </c>
      <c r="F314" s="6" t="s">
        <v>206</v>
      </c>
      <c r="H314" s="6" t="s">
        <v>326</v>
      </c>
      <c r="L314" s="6">
        <v>1.0</v>
      </c>
      <c r="M314" s="27">
        <v>8990.0</v>
      </c>
      <c r="O314" s="7">
        <f t="shared" si="27"/>
        <v>8990</v>
      </c>
    </row>
    <row r="315">
      <c r="A315" s="6">
        <v>2025.0</v>
      </c>
      <c r="B315" s="6" t="s">
        <v>124</v>
      </c>
      <c r="C315" s="1" t="s">
        <v>205</v>
      </c>
      <c r="F315" s="6" t="s">
        <v>206</v>
      </c>
      <c r="H315" s="6" t="s">
        <v>258</v>
      </c>
      <c r="L315" s="6">
        <v>1.0</v>
      </c>
      <c r="M315" s="15">
        <v>4750.0</v>
      </c>
      <c r="O315" s="7">
        <f t="shared" si="27"/>
        <v>4750</v>
      </c>
    </row>
    <row r="316">
      <c r="A316" s="6">
        <v>2025.0</v>
      </c>
      <c r="B316" s="6" t="s">
        <v>124</v>
      </c>
      <c r="C316" s="1" t="s">
        <v>205</v>
      </c>
      <c r="F316" s="6" t="s">
        <v>206</v>
      </c>
      <c r="H316" s="6" t="s">
        <v>260</v>
      </c>
      <c r="L316" s="6">
        <v>3.0</v>
      </c>
      <c r="M316" s="6">
        <v>1950.0</v>
      </c>
      <c r="O316" s="7">
        <f t="shared" si="27"/>
        <v>5850</v>
      </c>
    </row>
    <row r="317">
      <c r="A317" s="6">
        <v>2025.0</v>
      </c>
      <c r="B317" s="6" t="s">
        <v>124</v>
      </c>
      <c r="C317" s="1" t="s">
        <v>205</v>
      </c>
      <c r="F317" s="6" t="s">
        <v>206</v>
      </c>
      <c r="H317" s="6" t="s">
        <v>261</v>
      </c>
      <c r="L317" s="6">
        <v>1.0</v>
      </c>
      <c r="M317" s="6">
        <v>7990.0</v>
      </c>
      <c r="O317" s="7">
        <f t="shared" si="27"/>
        <v>7990</v>
      </c>
    </row>
    <row r="318">
      <c r="A318" s="6">
        <v>2025.0</v>
      </c>
      <c r="B318" s="6" t="s">
        <v>124</v>
      </c>
      <c r="C318" s="1" t="s">
        <v>205</v>
      </c>
      <c r="F318" s="6" t="s">
        <v>206</v>
      </c>
      <c r="G318" s="11"/>
      <c r="H318" s="6" t="s">
        <v>313</v>
      </c>
      <c r="L318" s="6">
        <v>1.0</v>
      </c>
      <c r="M318" s="27">
        <v>4950.0</v>
      </c>
      <c r="O318" s="7">
        <f t="shared" si="27"/>
        <v>4950</v>
      </c>
    </row>
    <row r="319">
      <c r="A319" s="24" t="s">
        <v>204</v>
      </c>
      <c r="B319" s="24"/>
      <c r="C319" s="24"/>
      <c r="D319" s="24"/>
      <c r="E319" s="24"/>
      <c r="F319" s="25"/>
      <c r="G319" s="25"/>
      <c r="H319" s="25"/>
      <c r="I319" s="25"/>
      <c r="J319" s="25"/>
      <c r="K319" s="25"/>
      <c r="L319" s="25"/>
      <c r="M319" s="25"/>
      <c r="N319" s="28" t="str">
        <f>CHANGE(O265,O319)</f>
        <v>#NAME?</v>
      </c>
      <c r="O319" s="26">
        <f>SUM(O302:O318)</f>
        <v>93830</v>
      </c>
    </row>
    <row r="320">
      <c r="A320" s="6">
        <v>2025.0</v>
      </c>
      <c r="B320" s="6" t="s">
        <v>124</v>
      </c>
      <c r="C320" s="1" t="s">
        <v>284</v>
      </c>
      <c r="F320" s="6" t="s">
        <v>206</v>
      </c>
      <c r="H320" s="6" t="s">
        <v>246</v>
      </c>
      <c r="L320" s="6">
        <v>1.0</v>
      </c>
      <c r="M320" s="27">
        <v>1200.0</v>
      </c>
      <c r="O320" s="7">
        <f t="shared" ref="O320:O333" si="28">M320*L320</f>
        <v>1200</v>
      </c>
    </row>
    <row r="321">
      <c r="A321" s="6">
        <v>2025.0</v>
      </c>
      <c r="B321" s="6" t="s">
        <v>124</v>
      </c>
      <c r="C321" s="1" t="s">
        <v>284</v>
      </c>
      <c r="F321" s="6" t="s">
        <v>206</v>
      </c>
      <c r="H321" s="6" t="s">
        <v>249</v>
      </c>
      <c r="L321" s="6">
        <v>1.0</v>
      </c>
      <c r="M321" s="27">
        <v>1200.0</v>
      </c>
      <c r="O321" s="7">
        <f t="shared" si="28"/>
        <v>1200</v>
      </c>
    </row>
    <row r="322">
      <c r="A322" s="6">
        <v>2025.0</v>
      </c>
      <c r="B322" s="6" t="s">
        <v>124</v>
      </c>
      <c r="C322" s="1" t="s">
        <v>284</v>
      </c>
      <c r="F322" s="6" t="s">
        <v>206</v>
      </c>
      <c r="H322" s="6" t="s">
        <v>309</v>
      </c>
      <c r="L322" s="6">
        <v>1.0</v>
      </c>
      <c r="M322" s="27">
        <v>5990.0</v>
      </c>
      <c r="O322" s="7">
        <f t="shared" si="28"/>
        <v>5990</v>
      </c>
    </row>
    <row r="323">
      <c r="A323" s="6">
        <v>2025.0</v>
      </c>
      <c r="B323" s="6" t="s">
        <v>124</v>
      </c>
      <c r="C323" s="1" t="s">
        <v>284</v>
      </c>
      <c r="F323" s="6" t="s">
        <v>206</v>
      </c>
      <c r="H323" s="6" t="s">
        <v>255</v>
      </c>
      <c r="L323" s="6">
        <v>1.0</v>
      </c>
      <c r="M323" s="15">
        <v>8700.0</v>
      </c>
      <c r="O323" s="7">
        <f t="shared" si="28"/>
        <v>8700</v>
      </c>
    </row>
    <row r="324">
      <c r="A324" s="6">
        <v>2025.0</v>
      </c>
      <c r="B324" s="6" t="s">
        <v>124</v>
      </c>
      <c r="C324" s="1" t="s">
        <v>284</v>
      </c>
      <c r="F324" s="6" t="s">
        <v>206</v>
      </c>
      <c r="H324" s="6" t="s">
        <v>257</v>
      </c>
      <c r="L324" s="6">
        <v>1.0</v>
      </c>
      <c r="M324" s="15">
        <v>3790.0</v>
      </c>
      <c r="O324" s="7">
        <f t="shared" si="28"/>
        <v>3790</v>
      </c>
    </row>
    <row r="325">
      <c r="A325" s="6">
        <v>2025.0</v>
      </c>
      <c r="B325" s="6" t="s">
        <v>124</v>
      </c>
      <c r="C325" s="1" t="s">
        <v>284</v>
      </c>
      <c r="F325" s="6" t="s">
        <v>206</v>
      </c>
      <c r="H325" s="6" t="s">
        <v>253</v>
      </c>
      <c r="L325" s="6">
        <v>1.0</v>
      </c>
      <c r="M325" s="27">
        <v>6450.0</v>
      </c>
      <c r="O325" s="7">
        <f t="shared" si="28"/>
        <v>6450</v>
      </c>
    </row>
    <row r="326">
      <c r="A326" s="6">
        <v>2025.0</v>
      </c>
      <c r="B326" s="6" t="s">
        <v>124</v>
      </c>
      <c r="C326" s="1" t="s">
        <v>284</v>
      </c>
      <c r="F326" s="6" t="s">
        <v>206</v>
      </c>
      <c r="H326" s="6" t="s">
        <v>316</v>
      </c>
      <c r="L326" s="6">
        <v>1.0</v>
      </c>
      <c r="M326" s="27">
        <v>6990.0</v>
      </c>
      <c r="O326" s="7">
        <f t="shared" si="28"/>
        <v>6990</v>
      </c>
    </row>
    <row r="327">
      <c r="A327" s="6">
        <v>2025.0</v>
      </c>
      <c r="B327" s="6" t="s">
        <v>124</v>
      </c>
      <c r="C327" s="1" t="s">
        <v>284</v>
      </c>
      <c r="F327" s="6" t="s">
        <v>206</v>
      </c>
      <c r="H327" s="6" t="s">
        <v>247</v>
      </c>
      <c r="L327" s="6">
        <v>1.0</v>
      </c>
      <c r="M327" s="27">
        <v>4900.0</v>
      </c>
      <c r="O327" s="7">
        <f t="shared" si="28"/>
        <v>4900</v>
      </c>
    </row>
    <row r="328">
      <c r="A328" s="6">
        <v>2025.0</v>
      </c>
      <c r="B328" s="6" t="s">
        <v>124</v>
      </c>
      <c r="C328" s="1" t="s">
        <v>284</v>
      </c>
      <c r="F328" s="6" t="s">
        <v>206</v>
      </c>
      <c r="H328" s="6" t="s">
        <v>301</v>
      </c>
      <c r="L328" s="6">
        <v>1.0</v>
      </c>
      <c r="M328" s="27">
        <v>4950.0</v>
      </c>
      <c r="O328" s="7">
        <f t="shared" si="28"/>
        <v>4950</v>
      </c>
    </row>
    <row r="329">
      <c r="A329" s="6">
        <v>2025.0</v>
      </c>
      <c r="B329" s="6" t="s">
        <v>124</v>
      </c>
      <c r="C329" s="1" t="s">
        <v>284</v>
      </c>
      <c r="F329" s="6" t="s">
        <v>206</v>
      </c>
      <c r="H329" s="6" t="s">
        <v>320</v>
      </c>
      <c r="L329" s="6">
        <v>1.0</v>
      </c>
      <c r="M329" s="27">
        <v>5100.0</v>
      </c>
      <c r="O329" s="7">
        <f t="shared" si="28"/>
        <v>5100</v>
      </c>
    </row>
    <row r="330">
      <c r="A330" s="6">
        <v>2025.0</v>
      </c>
      <c r="B330" s="6" t="s">
        <v>124</v>
      </c>
      <c r="C330" s="1" t="s">
        <v>284</v>
      </c>
      <c r="F330" s="6" t="s">
        <v>206</v>
      </c>
      <c r="H330" s="6" t="s">
        <v>314</v>
      </c>
      <c r="L330" s="6">
        <v>2.0</v>
      </c>
      <c r="M330" s="27">
        <v>3400.0</v>
      </c>
      <c r="O330" s="7">
        <f t="shared" si="28"/>
        <v>6800</v>
      </c>
    </row>
    <row r="331">
      <c r="A331" s="6">
        <v>2025.0</v>
      </c>
      <c r="B331" s="6" t="s">
        <v>124</v>
      </c>
      <c r="C331" s="1" t="s">
        <v>284</v>
      </c>
      <c r="F331" s="6" t="s">
        <v>206</v>
      </c>
      <c r="H331" s="6" t="s">
        <v>334</v>
      </c>
      <c r="L331" s="6">
        <v>1.0</v>
      </c>
      <c r="M331" s="6">
        <v>14290.0</v>
      </c>
      <c r="O331" s="7">
        <f t="shared" si="28"/>
        <v>14290</v>
      </c>
    </row>
    <row r="332">
      <c r="A332" s="6">
        <v>2025.0</v>
      </c>
      <c r="B332" s="6" t="s">
        <v>124</v>
      </c>
      <c r="C332" s="1" t="s">
        <v>284</v>
      </c>
      <c r="F332" s="6" t="s">
        <v>206</v>
      </c>
      <c r="H332" s="6" t="s">
        <v>260</v>
      </c>
      <c r="L332" s="6">
        <v>3.0</v>
      </c>
      <c r="M332" s="6">
        <v>1950.0</v>
      </c>
      <c r="O332" s="7">
        <f t="shared" si="28"/>
        <v>5850</v>
      </c>
    </row>
    <row r="333">
      <c r="A333" s="6">
        <v>2025.0</v>
      </c>
      <c r="B333" s="6" t="s">
        <v>124</v>
      </c>
      <c r="C333" s="1" t="s">
        <v>284</v>
      </c>
      <c r="F333" s="6" t="s">
        <v>206</v>
      </c>
      <c r="H333" s="6" t="s">
        <v>261</v>
      </c>
      <c r="L333" s="6">
        <v>1.0</v>
      </c>
      <c r="M333" s="6">
        <v>7990.0</v>
      </c>
      <c r="O333" s="7">
        <f t="shared" si="28"/>
        <v>7990</v>
      </c>
    </row>
    <row r="334">
      <c r="A334" s="24" t="s">
        <v>204</v>
      </c>
      <c r="B334" s="24"/>
      <c r="C334" s="24"/>
      <c r="D334" s="24"/>
      <c r="E334" s="24"/>
      <c r="F334" s="25"/>
      <c r="G334" s="25"/>
      <c r="H334" s="25"/>
      <c r="I334" s="25"/>
      <c r="J334" s="25"/>
      <c r="K334" s="25"/>
      <c r="L334" s="25"/>
      <c r="M334" s="25"/>
      <c r="N334" s="28" t="str">
        <f>CHANGE(O283,O334)</f>
        <v>#NAME?</v>
      </c>
      <c r="O334" s="26">
        <f>SUM(O320:O333)</f>
        <v>84200</v>
      </c>
    </row>
    <row r="335">
      <c r="A335" s="6">
        <v>2025.0</v>
      </c>
      <c r="B335" s="6" t="s">
        <v>163</v>
      </c>
      <c r="C335" s="1" t="s">
        <v>284</v>
      </c>
      <c r="F335" s="6" t="s">
        <v>206</v>
      </c>
      <c r="H335" s="6" t="s">
        <v>335</v>
      </c>
      <c r="L335" s="6">
        <v>2.0</v>
      </c>
      <c r="M335" s="6">
        <v>2550.0</v>
      </c>
      <c r="O335" s="7">
        <f t="shared" ref="O335:O348" si="29">M335*L335</f>
        <v>5100</v>
      </c>
    </row>
    <row r="336">
      <c r="A336" s="6">
        <v>2025.0</v>
      </c>
      <c r="B336" s="6" t="s">
        <v>163</v>
      </c>
      <c r="C336" s="1" t="s">
        <v>284</v>
      </c>
      <c r="F336" s="6" t="s">
        <v>206</v>
      </c>
      <c r="H336" s="6" t="s">
        <v>256</v>
      </c>
      <c r="L336" s="6">
        <v>1.0</v>
      </c>
      <c r="M336" s="15">
        <v>2600.0</v>
      </c>
      <c r="O336" s="7">
        <f t="shared" si="29"/>
        <v>2600</v>
      </c>
    </row>
    <row r="337">
      <c r="A337" s="6">
        <v>2025.0</v>
      </c>
      <c r="B337" s="6" t="s">
        <v>163</v>
      </c>
      <c r="C337" s="1" t="s">
        <v>284</v>
      </c>
      <c r="F337" s="6" t="s">
        <v>206</v>
      </c>
      <c r="H337" s="6" t="s">
        <v>247</v>
      </c>
      <c r="L337" s="6">
        <v>1.0</v>
      </c>
      <c r="M337" s="27">
        <v>4990.0</v>
      </c>
      <c r="O337" s="7">
        <f t="shared" si="29"/>
        <v>4990</v>
      </c>
    </row>
    <row r="338">
      <c r="A338" s="6">
        <v>2025.0</v>
      </c>
      <c r="B338" s="6" t="s">
        <v>163</v>
      </c>
      <c r="C338" s="1" t="s">
        <v>284</v>
      </c>
      <c r="F338" s="6" t="s">
        <v>206</v>
      </c>
      <c r="H338" s="6" t="s">
        <v>251</v>
      </c>
      <c r="L338" s="6">
        <v>1.0</v>
      </c>
      <c r="M338" s="15">
        <v>4570.0</v>
      </c>
      <c r="O338" s="7">
        <f t="shared" si="29"/>
        <v>4570</v>
      </c>
    </row>
    <row r="339">
      <c r="A339" s="6">
        <v>2025.0</v>
      </c>
      <c r="B339" s="6" t="s">
        <v>163</v>
      </c>
      <c r="C339" s="1" t="s">
        <v>284</v>
      </c>
      <c r="F339" s="6" t="s">
        <v>206</v>
      </c>
      <c r="H339" s="6" t="s">
        <v>249</v>
      </c>
      <c r="L339" s="6">
        <v>1.0</v>
      </c>
      <c r="M339" s="27">
        <v>1150.0</v>
      </c>
      <c r="O339" s="7">
        <f t="shared" si="29"/>
        <v>1150</v>
      </c>
    </row>
    <row r="340">
      <c r="A340" s="6">
        <v>2025.0</v>
      </c>
      <c r="B340" s="6" t="s">
        <v>163</v>
      </c>
      <c r="C340" s="1" t="s">
        <v>284</v>
      </c>
      <c r="F340" s="6" t="s">
        <v>206</v>
      </c>
      <c r="H340" s="6" t="s">
        <v>327</v>
      </c>
      <c r="L340" s="6">
        <v>1.0</v>
      </c>
      <c r="M340" s="27">
        <v>7990.0</v>
      </c>
      <c r="O340" s="7">
        <f t="shared" si="29"/>
        <v>7990</v>
      </c>
    </row>
    <row r="341">
      <c r="A341" s="6">
        <v>2025.0</v>
      </c>
      <c r="B341" s="6" t="s">
        <v>163</v>
      </c>
      <c r="C341" s="1" t="s">
        <v>284</v>
      </c>
      <c r="F341" s="6" t="s">
        <v>206</v>
      </c>
      <c r="H341" s="6" t="s">
        <v>301</v>
      </c>
      <c r="L341" s="6">
        <v>1.0</v>
      </c>
      <c r="M341" s="27">
        <v>4950.0</v>
      </c>
      <c r="O341" s="7">
        <f t="shared" si="29"/>
        <v>4950</v>
      </c>
    </row>
    <row r="342">
      <c r="A342" s="6">
        <v>2025.0</v>
      </c>
      <c r="B342" s="6" t="s">
        <v>163</v>
      </c>
      <c r="C342" s="1" t="s">
        <v>284</v>
      </c>
      <c r="F342" s="6" t="s">
        <v>206</v>
      </c>
      <c r="H342" s="6" t="s">
        <v>311</v>
      </c>
      <c r="L342" s="6">
        <v>1.0</v>
      </c>
      <c r="M342" s="6">
        <v>1750.0</v>
      </c>
      <c r="O342" s="7">
        <f t="shared" si="29"/>
        <v>1750</v>
      </c>
    </row>
    <row r="343">
      <c r="A343" s="6">
        <v>2025.0</v>
      </c>
      <c r="B343" s="6" t="s">
        <v>163</v>
      </c>
      <c r="C343" s="1" t="s">
        <v>284</v>
      </c>
      <c r="F343" s="6" t="s">
        <v>206</v>
      </c>
      <c r="H343" s="6" t="s">
        <v>245</v>
      </c>
      <c r="L343" s="6">
        <v>1.0</v>
      </c>
      <c r="M343" s="15">
        <v>2200.0</v>
      </c>
      <c r="O343" s="7">
        <f t="shared" si="29"/>
        <v>2200</v>
      </c>
    </row>
    <row r="344">
      <c r="A344" s="6">
        <v>2025.0</v>
      </c>
      <c r="B344" s="6" t="s">
        <v>163</v>
      </c>
      <c r="C344" s="1" t="s">
        <v>284</v>
      </c>
      <c r="F344" s="6" t="s">
        <v>206</v>
      </c>
      <c r="H344" s="6" t="s">
        <v>308</v>
      </c>
      <c r="L344" s="6">
        <v>1.0</v>
      </c>
      <c r="M344" s="6">
        <v>4950.0</v>
      </c>
      <c r="O344" s="7">
        <f t="shared" si="29"/>
        <v>4950</v>
      </c>
    </row>
    <row r="345">
      <c r="A345" s="6">
        <v>2025.0</v>
      </c>
      <c r="B345" s="6" t="s">
        <v>163</v>
      </c>
      <c r="C345" s="1" t="s">
        <v>284</v>
      </c>
      <c r="F345" s="6" t="s">
        <v>206</v>
      </c>
      <c r="H345" s="6" t="s">
        <v>255</v>
      </c>
      <c r="L345" s="6">
        <v>1.0</v>
      </c>
      <c r="M345" s="15">
        <v>8700.0</v>
      </c>
      <c r="O345" s="7">
        <f t="shared" si="29"/>
        <v>8700</v>
      </c>
    </row>
    <row r="346">
      <c r="A346" s="6">
        <v>2025.0</v>
      </c>
      <c r="B346" s="6" t="s">
        <v>163</v>
      </c>
      <c r="C346" s="1" t="s">
        <v>284</v>
      </c>
      <c r="F346" s="6" t="s">
        <v>206</v>
      </c>
      <c r="H346" s="6" t="s">
        <v>307</v>
      </c>
      <c r="L346" s="6">
        <v>1.0</v>
      </c>
      <c r="M346" s="27">
        <v>1150.0</v>
      </c>
      <c r="O346" s="7">
        <f t="shared" si="29"/>
        <v>1150</v>
      </c>
    </row>
    <row r="347">
      <c r="A347" s="6">
        <v>2025.0</v>
      </c>
      <c r="B347" s="6" t="s">
        <v>163</v>
      </c>
      <c r="C347" s="1" t="s">
        <v>284</v>
      </c>
      <c r="F347" s="6" t="s">
        <v>206</v>
      </c>
      <c r="H347" s="6" t="s">
        <v>257</v>
      </c>
      <c r="L347" s="6">
        <v>1.0</v>
      </c>
      <c r="M347" s="15">
        <v>3790.0</v>
      </c>
      <c r="O347" s="7">
        <f t="shared" si="29"/>
        <v>3790</v>
      </c>
    </row>
    <row r="348">
      <c r="A348" s="6">
        <v>2025.0</v>
      </c>
      <c r="B348" s="6" t="s">
        <v>163</v>
      </c>
      <c r="C348" s="1" t="s">
        <v>284</v>
      </c>
      <c r="F348" s="6" t="s">
        <v>206</v>
      </c>
      <c r="G348" s="6" t="s">
        <v>207</v>
      </c>
      <c r="H348" s="6" t="s">
        <v>261</v>
      </c>
      <c r="L348" s="6">
        <v>1.0</v>
      </c>
      <c r="M348" s="6">
        <v>7990.0</v>
      </c>
      <c r="O348" s="7">
        <f t="shared" si="29"/>
        <v>7990</v>
      </c>
    </row>
    <row r="349">
      <c r="A349" s="24" t="s">
        <v>204</v>
      </c>
      <c r="B349" s="24"/>
      <c r="C349" s="24"/>
      <c r="D349" s="24"/>
      <c r="E349" s="24"/>
      <c r="F349" s="25"/>
      <c r="G349" s="25"/>
      <c r="H349" s="25"/>
      <c r="I349" s="25"/>
      <c r="J349" s="25"/>
      <c r="K349" s="25"/>
      <c r="L349" s="25"/>
      <c r="M349" s="25"/>
      <c r="N349" s="28" t="str">
        <f>CHANGE(O298,O349)</f>
        <v>#NAME?</v>
      </c>
      <c r="O349" s="26">
        <f>SUM(O335:O348)</f>
        <v>61880</v>
      </c>
    </row>
    <row r="350">
      <c r="A350" s="6">
        <v>2025.0</v>
      </c>
      <c r="B350" s="6" t="s">
        <v>163</v>
      </c>
      <c r="C350" s="1" t="s">
        <v>284</v>
      </c>
      <c r="F350" s="6" t="s">
        <v>206</v>
      </c>
      <c r="H350" s="6" t="s">
        <v>335</v>
      </c>
      <c r="L350" s="6">
        <v>2.0</v>
      </c>
      <c r="M350" s="6">
        <v>2550.0</v>
      </c>
      <c r="O350" s="7">
        <f t="shared" ref="O350:O363" si="30">M350*L350</f>
        <v>5100</v>
      </c>
    </row>
    <row r="351">
      <c r="A351" s="6">
        <v>2025.0</v>
      </c>
      <c r="B351" s="6" t="s">
        <v>163</v>
      </c>
      <c r="C351" s="1" t="s">
        <v>284</v>
      </c>
      <c r="F351" s="6" t="s">
        <v>206</v>
      </c>
      <c r="H351" s="6" t="s">
        <v>256</v>
      </c>
      <c r="L351" s="6">
        <v>1.0</v>
      </c>
      <c r="M351" s="15">
        <v>2600.0</v>
      </c>
      <c r="O351" s="7">
        <f t="shared" si="30"/>
        <v>2600</v>
      </c>
    </row>
    <row r="352">
      <c r="A352" s="6">
        <v>2025.0</v>
      </c>
      <c r="B352" s="6" t="s">
        <v>163</v>
      </c>
      <c r="C352" s="1" t="s">
        <v>284</v>
      </c>
      <c r="F352" s="6" t="s">
        <v>206</v>
      </c>
      <c r="H352" s="6" t="s">
        <v>247</v>
      </c>
      <c r="L352" s="6">
        <v>1.0</v>
      </c>
      <c r="M352" s="27">
        <v>4990.0</v>
      </c>
      <c r="O352" s="7">
        <f t="shared" si="30"/>
        <v>4990</v>
      </c>
    </row>
    <row r="353">
      <c r="A353" s="6">
        <v>2025.0</v>
      </c>
      <c r="B353" s="6" t="s">
        <v>163</v>
      </c>
      <c r="C353" s="1" t="s">
        <v>284</v>
      </c>
      <c r="F353" s="6" t="s">
        <v>206</v>
      </c>
      <c r="H353" s="6" t="s">
        <v>251</v>
      </c>
      <c r="L353" s="6">
        <v>1.0</v>
      </c>
      <c r="M353" s="15">
        <v>4570.0</v>
      </c>
      <c r="O353" s="7">
        <f t="shared" si="30"/>
        <v>4570</v>
      </c>
    </row>
    <row r="354">
      <c r="A354" s="6">
        <v>2025.0</v>
      </c>
      <c r="B354" s="6" t="s">
        <v>163</v>
      </c>
      <c r="C354" s="1" t="s">
        <v>284</v>
      </c>
      <c r="F354" s="6" t="s">
        <v>206</v>
      </c>
      <c r="H354" s="6" t="s">
        <v>249</v>
      </c>
      <c r="L354" s="6">
        <v>1.0</v>
      </c>
      <c r="M354" s="27">
        <v>1150.0</v>
      </c>
      <c r="O354" s="7">
        <f t="shared" si="30"/>
        <v>1150</v>
      </c>
    </row>
    <row r="355">
      <c r="A355" s="6">
        <v>2025.0</v>
      </c>
      <c r="B355" s="6" t="s">
        <v>163</v>
      </c>
      <c r="C355" s="1" t="s">
        <v>284</v>
      </c>
      <c r="F355" s="6" t="s">
        <v>206</v>
      </c>
      <c r="H355" s="6" t="s">
        <v>327</v>
      </c>
      <c r="L355" s="6">
        <v>1.0</v>
      </c>
      <c r="M355" s="27">
        <v>7990.0</v>
      </c>
      <c r="O355" s="7">
        <f t="shared" si="30"/>
        <v>7990</v>
      </c>
    </row>
    <row r="356">
      <c r="A356" s="6">
        <v>2025.0</v>
      </c>
      <c r="B356" s="6" t="s">
        <v>163</v>
      </c>
      <c r="C356" s="1" t="s">
        <v>284</v>
      </c>
      <c r="F356" s="6" t="s">
        <v>206</v>
      </c>
      <c r="H356" s="6" t="s">
        <v>301</v>
      </c>
      <c r="L356" s="6">
        <v>1.0</v>
      </c>
      <c r="M356" s="27">
        <v>4950.0</v>
      </c>
      <c r="O356" s="7">
        <f t="shared" si="30"/>
        <v>4950</v>
      </c>
    </row>
    <row r="357">
      <c r="A357" s="6">
        <v>2025.0</v>
      </c>
      <c r="B357" s="6" t="s">
        <v>163</v>
      </c>
      <c r="C357" s="1" t="s">
        <v>284</v>
      </c>
      <c r="F357" s="6" t="s">
        <v>206</v>
      </c>
      <c r="H357" s="6" t="s">
        <v>311</v>
      </c>
      <c r="L357" s="6">
        <v>1.0</v>
      </c>
      <c r="M357" s="6">
        <v>1750.0</v>
      </c>
      <c r="O357" s="7">
        <f t="shared" si="30"/>
        <v>1750</v>
      </c>
    </row>
    <row r="358">
      <c r="A358" s="6">
        <v>2025.0</v>
      </c>
      <c r="B358" s="6" t="s">
        <v>163</v>
      </c>
      <c r="C358" s="1" t="s">
        <v>284</v>
      </c>
      <c r="F358" s="6" t="s">
        <v>206</v>
      </c>
      <c r="H358" s="6" t="s">
        <v>245</v>
      </c>
      <c r="L358" s="6">
        <v>1.0</v>
      </c>
      <c r="M358" s="15">
        <v>2200.0</v>
      </c>
      <c r="O358" s="7">
        <f t="shared" si="30"/>
        <v>2200</v>
      </c>
    </row>
    <row r="359">
      <c r="A359" s="6">
        <v>2025.0</v>
      </c>
      <c r="B359" s="6" t="s">
        <v>163</v>
      </c>
      <c r="C359" s="1" t="s">
        <v>284</v>
      </c>
      <c r="F359" s="6" t="s">
        <v>206</v>
      </c>
      <c r="H359" s="6" t="s">
        <v>308</v>
      </c>
      <c r="L359" s="6">
        <v>1.0</v>
      </c>
      <c r="M359" s="6">
        <v>4950.0</v>
      </c>
      <c r="O359" s="7">
        <f t="shared" si="30"/>
        <v>4950</v>
      </c>
    </row>
    <row r="360">
      <c r="A360" s="6">
        <v>2025.0</v>
      </c>
      <c r="B360" s="6" t="s">
        <v>163</v>
      </c>
      <c r="C360" s="1" t="s">
        <v>284</v>
      </c>
      <c r="F360" s="6" t="s">
        <v>206</v>
      </c>
      <c r="H360" s="6" t="s">
        <v>255</v>
      </c>
      <c r="L360" s="6">
        <v>1.0</v>
      </c>
      <c r="M360" s="15">
        <v>8700.0</v>
      </c>
      <c r="O360" s="7">
        <f t="shared" si="30"/>
        <v>8700</v>
      </c>
    </row>
    <row r="361">
      <c r="A361" s="6">
        <v>2025.0</v>
      </c>
      <c r="B361" s="6" t="s">
        <v>163</v>
      </c>
      <c r="C361" s="1" t="s">
        <v>284</v>
      </c>
      <c r="F361" s="6" t="s">
        <v>206</v>
      </c>
      <c r="H361" s="6" t="s">
        <v>307</v>
      </c>
      <c r="L361" s="6">
        <v>1.0</v>
      </c>
      <c r="M361" s="27">
        <v>1150.0</v>
      </c>
      <c r="O361" s="7">
        <f t="shared" si="30"/>
        <v>1150</v>
      </c>
    </row>
    <row r="362">
      <c r="A362" s="6">
        <v>2025.0</v>
      </c>
      <c r="B362" s="6" t="s">
        <v>163</v>
      </c>
      <c r="C362" s="1" t="s">
        <v>284</v>
      </c>
      <c r="F362" s="6" t="s">
        <v>206</v>
      </c>
      <c r="H362" s="6" t="s">
        <v>257</v>
      </c>
      <c r="L362" s="6">
        <v>1.0</v>
      </c>
      <c r="M362" s="15">
        <v>3790.0</v>
      </c>
      <c r="O362" s="7">
        <f t="shared" si="30"/>
        <v>3790</v>
      </c>
    </row>
    <row r="363">
      <c r="A363" s="6">
        <v>2025.0</v>
      </c>
      <c r="B363" s="6" t="s">
        <v>163</v>
      </c>
      <c r="C363" s="1" t="s">
        <v>284</v>
      </c>
      <c r="F363" s="6" t="s">
        <v>206</v>
      </c>
      <c r="G363" s="6" t="s">
        <v>207</v>
      </c>
      <c r="H363" s="6" t="s">
        <v>261</v>
      </c>
      <c r="L363" s="6">
        <v>1.0</v>
      </c>
      <c r="M363" s="6">
        <v>7990.0</v>
      </c>
      <c r="O363" s="7">
        <f t="shared" si="30"/>
        <v>7990</v>
      </c>
    </row>
    <row r="364">
      <c r="A364" s="24" t="s">
        <v>204</v>
      </c>
      <c r="B364" s="24"/>
      <c r="C364" s="24"/>
      <c r="D364" s="24"/>
      <c r="E364" s="24"/>
      <c r="F364" s="25"/>
      <c r="G364" s="25"/>
      <c r="H364" s="25"/>
      <c r="I364" s="25"/>
      <c r="J364" s="25"/>
      <c r="K364" s="25"/>
      <c r="L364" s="25"/>
      <c r="M364" s="25"/>
      <c r="N364" s="28" t="str">
        <f>CHANGE(O313,O364)</f>
        <v>#NAME?</v>
      </c>
      <c r="O364" s="26">
        <f>SUM(O350:O363)</f>
        <v>61880</v>
      </c>
    </row>
    <row r="365">
      <c r="A365" s="6">
        <v>2025.0</v>
      </c>
      <c r="B365" s="6" t="s">
        <v>173</v>
      </c>
      <c r="C365" s="1" t="s">
        <v>205</v>
      </c>
      <c r="F365" s="6" t="s">
        <v>206</v>
      </c>
      <c r="H365" s="6" t="s">
        <v>259</v>
      </c>
      <c r="L365" s="6">
        <v>1.0</v>
      </c>
      <c r="M365" s="15">
        <v>1650.0</v>
      </c>
      <c r="O365" s="7">
        <f t="shared" ref="O365:O382" si="31">M365*L365</f>
        <v>1650</v>
      </c>
    </row>
    <row r="366">
      <c r="A366" s="6">
        <v>2025.0</v>
      </c>
      <c r="B366" s="6" t="s">
        <v>173</v>
      </c>
      <c r="C366" s="1" t="s">
        <v>205</v>
      </c>
      <c r="F366" s="6" t="s">
        <v>206</v>
      </c>
      <c r="H366" s="6" t="s">
        <v>256</v>
      </c>
      <c r="L366" s="6">
        <v>1.0</v>
      </c>
      <c r="M366" s="15">
        <v>2600.0</v>
      </c>
      <c r="O366" s="7">
        <f t="shared" si="31"/>
        <v>2600</v>
      </c>
    </row>
    <row r="367">
      <c r="A367" s="6">
        <v>2025.0</v>
      </c>
      <c r="B367" s="6" t="s">
        <v>173</v>
      </c>
      <c r="C367" s="1" t="s">
        <v>205</v>
      </c>
      <c r="F367" s="6" t="s">
        <v>206</v>
      </c>
      <c r="G367" s="11"/>
      <c r="H367" s="6" t="s">
        <v>330</v>
      </c>
      <c r="I367" s="11"/>
      <c r="J367" s="11"/>
      <c r="K367" s="11"/>
      <c r="L367" s="6">
        <v>1.0</v>
      </c>
      <c r="M367" s="6">
        <v>2200.0</v>
      </c>
      <c r="N367" s="31"/>
      <c r="O367" s="7">
        <f t="shared" si="31"/>
        <v>2200</v>
      </c>
    </row>
    <row r="368">
      <c r="A368" s="6">
        <v>2025.0</v>
      </c>
      <c r="B368" s="6" t="s">
        <v>173</v>
      </c>
      <c r="C368" s="1" t="s">
        <v>205</v>
      </c>
      <c r="F368" s="6" t="s">
        <v>206</v>
      </c>
      <c r="H368" s="6" t="s">
        <v>254</v>
      </c>
      <c r="L368" s="6">
        <v>1.0</v>
      </c>
      <c r="M368" s="15">
        <v>5350.0</v>
      </c>
      <c r="O368" s="7">
        <f t="shared" si="31"/>
        <v>5350</v>
      </c>
    </row>
    <row r="369">
      <c r="A369" s="6">
        <v>2025.0</v>
      </c>
      <c r="B369" s="6" t="s">
        <v>173</v>
      </c>
      <c r="C369" s="1" t="s">
        <v>205</v>
      </c>
      <c r="F369" s="6" t="s">
        <v>206</v>
      </c>
      <c r="H369" s="6" t="s">
        <v>332</v>
      </c>
      <c r="L369" s="6">
        <v>1.0</v>
      </c>
      <c r="M369" s="27">
        <v>2900.0</v>
      </c>
      <c r="O369" s="7">
        <f t="shared" si="31"/>
        <v>2900</v>
      </c>
    </row>
    <row r="370">
      <c r="A370" s="6">
        <v>2025.0</v>
      </c>
      <c r="B370" s="6" t="s">
        <v>173</v>
      </c>
      <c r="C370" s="1" t="s">
        <v>205</v>
      </c>
      <c r="F370" s="6" t="s">
        <v>206</v>
      </c>
      <c r="H370" s="6" t="s">
        <v>257</v>
      </c>
      <c r="L370" s="6">
        <v>1.0</v>
      </c>
      <c r="M370" s="15">
        <v>3790.0</v>
      </c>
      <c r="O370" s="7">
        <f t="shared" si="31"/>
        <v>3790</v>
      </c>
    </row>
    <row r="371">
      <c r="A371" s="6">
        <v>2025.0</v>
      </c>
      <c r="B371" s="6" t="s">
        <v>173</v>
      </c>
      <c r="C371" s="1" t="s">
        <v>205</v>
      </c>
      <c r="F371" s="6" t="s">
        <v>206</v>
      </c>
      <c r="H371" s="6" t="s">
        <v>336</v>
      </c>
      <c r="L371" s="6">
        <v>1.0</v>
      </c>
      <c r="M371" s="27">
        <v>2150.0</v>
      </c>
      <c r="O371" s="7">
        <f t="shared" si="31"/>
        <v>2150</v>
      </c>
    </row>
    <row r="372">
      <c r="A372" s="6">
        <v>2025.0</v>
      </c>
      <c r="B372" s="6" t="s">
        <v>173</v>
      </c>
      <c r="C372" s="1" t="s">
        <v>205</v>
      </c>
      <c r="F372" s="6" t="s">
        <v>206</v>
      </c>
      <c r="H372" s="6" t="s">
        <v>255</v>
      </c>
      <c r="L372" s="6">
        <v>1.0</v>
      </c>
      <c r="M372" s="15">
        <v>8700.0</v>
      </c>
      <c r="O372" s="7">
        <f t="shared" si="31"/>
        <v>8700</v>
      </c>
    </row>
    <row r="373">
      <c r="A373" s="6">
        <v>2025.0</v>
      </c>
      <c r="B373" s="6" t="s">
        <v>173</v>
      </c>
      <c r="C373" s="1" t="s">
        <v>205</v>
      </c>
      <c r="F373" s="6" t="s">
        <v>206</v>
      </c>
      <c r="H373" s="6" t="s">
        <v>258</v>
      </c>
      <c r="L373" s="6">
        <v>1.0</v>
      </c>
      <c r="M373" s="27">
        <v>4490.0</v>
      </c>
      <c r="O373" s="7">
        <f t="shared" si="31"/>
        <v>4490</v>
      </c>
    </row>
    <row r="374">
      <c r="A374" s="6">
        <v>2025.0</v>
      </c>
      <c r="B374" s="6" t="s">
        <v>173</v>
      </c>
      <c r="C374" s="1" t="s">
        <v>205</v>
      </c>
      <c r="F374" s="6" t="s">
        <v>206</v>
      </c>
      <c r="H374" s="6" t="s">
        <v>311</v>
      </c>
      <c r="L374" s="6">
        <v>1.0</v>
      </c>
      <c r="M374" s="6">
        <v>1750.0</v>
      </c>
      <c r="O374" s="7">
        <f t="shared" si="31"/>
        <v>1750</v>
      </c>
    </row>
    <row r="375">
      <c r="A375" s="6">
        <v>2025.0</v>
      </c>
      <c r="B375" s="6" t="s">
        <v>173</v>
      </c>
      <c r="C375" s="1" t="s">
        <v>205</v>
      </c>
      <c r="F375" s="6" t="s">
        <v>206</v>
      </c>
      <c r="H375" s="6" t="s">
        <v>247</v>
      </c>
      <c r="L375" s="6">
        <v>2.0</v>
      </c>
      <c r="M375" s="27">
        <v>4990.0</v>
      </c>
      <c r="O375" s="7">
        <f t="shared" si="31"/>
        <v>9980</v>
      </c>
    </row>
    <row r="376">
      <c r="A376" s="6">
        <v>2025.0</v>
      </c>
      <c r="B376" s="6" t="s">
        <v>173</v>
      </c>
      <c r="C376" s="1" t="s">
        <v>205</v>
      </c>
      <c r="F376" s="6" t="s">
        <v>206</v>
      </c>
      <c r="H376" s="6" t="s">
        <v>337</v>
      </c>
      <c r="L376" s="6">
        <v>1.0</v>
      </c>
      <c r="M376" s="6">
        <v>11950.0</v>
      </c>
      <c r="O376" s="7">
        <f t="shared" si="31"/>
        <v>11950</v>
      </c>
    </row>
    <row r="377">
      <c r="A377" s="6">
        <v>2025.0</v>
      </c>
      <c r="B377" s="6" t="s">
        <v>173</v>
      </c>
      <c r="C377" s="1" t="s">
        <v>205</v>
      </c>
      <c r="F377" s="6" t="s">
        <v>206</v>
      </c>
      <c r="H377" s="6" t="s">
        <v>253</v>
      </c>
      <c r="L377" s="6">
        <v>1.0</v>
      </c>
      <c r="M377" s="15">
        <v>6450.0</v>
      </c>
      <c r="O377" s="7">
        <f t="shared" si="31"/>
        <v>6450</v>
      </c>
    </row>
    <row r="378">
      <c r="A378" s="6">
        <v>2025.0</v>
      </c>
      <c r="B378" s="6" t="s">
        <v>173</v>
      </c>
      <c r="C378" s="1" t="s">
        <v>205</v>
      </c>
      <c r="F378" s="6" t="s">
        <v>206</v>
      </c>
      <c r="H378" s="6" t="s">
        <v>308</v>
      </c>
      <c r="L378" s="6">
        <v>1.0</v>
      </c>
      <c r="M378" s="6">
        <v>4950.0</v>
      </c>
      <c r="O378" s="7">
        <f t="shared" si="31"/>
        <v>4950</v>
      </c>
    </row>
    <row r="379">
      <c r="A379" s="6">
        <v>2025.0</v>
      </c>
      <c r="B379" s="6" t="s">
        <v>173</v>
      </c>
      <c r="C379" s="1" t="s">
        <v>205</v>
      </c>
      <c r="F379" s="6" t="s">
        <v>206</v>
      </c>
      <c r="H379" s="6" t="s">
        <v>252</v>
      </c>
      <c r="L379" s="6">
        <v>3.0</v>
      </c>
      <c r="M379" s="6">
        <v>1990.0</v>
      </c>
      <c r="O379" s="7">
        <f t="shared" si="31"/>
        <v>5970</v>
      </c>
    </row>
    <row r="380">
      <c r="A380" s="6">
        <v>2025.0</v>
      </c>
      <c r="B380" s="6" t="s">
        <v>173</v>
      </c>
      <c r="C380" s="1" t="s">
        <v>205</v>
      </c>
      <c r="F380" s="6" t="s">
        <v>206</v>
      </c>
      <c r="H380" s="6" t="s">
        <v>307</v>
      </c>
      <c r="L380" s="6">
        <v>1.0</v>
      </c>
      <c r="M380" s="27">
        <v>1150.0</v>
      </c>
      <c r="O380" s="7">
        <f t="shared" si="31"/>
        <v>1150</v>
      </c>
    </row>
    <row r="381">
      <c r="A381" s="6">
        <v>2025.0</v>
      </c>
      <c r="B381" s="6" t="s">
        <v>173</v>
      </c>
      <c r="C381" s="1" t="s">
        <v>205</v>
      </c>
      <c r="F381" s="6" t="s">
        <v>206</v>
      </c>
      <c r="H381" s="6" t="s">
        <v>249</v>
      </c>
      <c r="L381" s="6">
        <v>1.0</v>
      </c>
      <c r="M381" s="27">
        <v>1150.0</v>
      </c>
      <c r="O381" s="7">
        <f t="shared" si="31"/>
        <v>1150</v>
      </c>
    </row>
    <row r="382">
      <c r="A382" s="6">
        <v>2025.0</v>
      </c>
      <c r="B382" s="6" t="s">
        <v>173</v>
      </c>
      <c r="C382" s="1" t="s">
        <v>205</v>
      </c>
      <c r="F382" s="6" t="s">
        <v>206</v>
      </c>
      <c r="H382" s="6" t="s">
        <v>338</v>
      </c>
      <c r="L382" s="6">
        <v>1.0</v>
      </c>
      <c r="M382" s="27">
        <v>1990.0</v>
      </c>
      <c r="O382" s="7">
        <f t="shared" si="31"/>
        <v>1990</v>
      </c>
    </row>
    <row r="383">
      <c r="A383" s="24" t="s">
        <v>204</v>
      </c>
      <c r="B383" s="24"/>
      <c r="C383" s="24"/>
      <c r="D383" s="24"/>
      <c r="E383" s="24"/>
      <c r="F383" s="25"/>
      <c r="G383" s="25"/>
      <c r="H383" s="25"/>
      <c r="I383" s="25"/>
      <c r="J383" s="25"/>
      <c r="K383" s="25"/>
      <c r="L383" s="25"/>
      <c r="M383" s="25"/>
      <c r="N383" s="28" t="str">
        <f>CHANGE(O332,O383)</f>
        <v>#NAME?</v>
      </c>
      <c r="O383" s="26">
        <f>SUM(O365:O382)</f>
        <v>79170</v>
      </c>
    </row>
    <row r="384">
      <c r="A384" s="6">
        <v>2025.0</v>
      </c>
      <c r="B384" s="6" t="s">
        <v>339</v>
      </c>
      <c r="C384" s="1" t="s">
        <v>205</v>
      </c>
      <c r="F384" s="6" t="s">
        <v>213</v>
      </c>
      <c r="G384" s="6" t="s">
        <v>207</v>
      </c>
      <c r="H384" s="6" t="s">
        <v>340</v>
      </c>
      <c r="I384" s="6" t="s">
        <v>167</v>
      </c>
      <c r="L384" s="6">
        <v>1.0</v>
      </c>
      <c r="M384" s="6">
        <v>22750.0</v>
      </c>
      <c r="O384" s="7">
        <f>M384*L384</f>
        <v>22750</v>
      </c>
    </row>
    <row r="385">
      <c r="A385" s="6">
        <v>2025.0</v>
      </c>
      <c r="B385" s="6" t="s">
        <v>339</v>
      </c>
      <c r="C385" s="1" t="s">
        <v>205</v>
      </c>
      <c r="F385" s="6" t="s">
        <v>213</v>
      </c>
      <c r="G385" s="6" t="s">
        <v>220</v>
      </c>
      <c r="H385" s="6" t="s">
        <v>303</v>
      </c>
      <c r="I385" s="6" t="s">
        <v>213</v>
      </c>
      <c r="J385" s="3">
        <v>1016.0</v>
      </c>
      <c r="K385" s="6"/>
      <c r="M385" s="6">
        <v>32980.0</v>
      </c>
      <c r="O385" s="7">
        <f t="shared" ref="O385:O398" si="32">M385*J385/1000</f>
        <v>33507.68</v>
      </c>
    </row>
    <row r="386">
      <c r="A386" s="6">
        <v>2025.0</v>
      </c>
      <c r="B386" s="6" t="s">
        <v>339</v>
      </c>
      <c r="C386" s="1" t="s">
        <v>205</v>
      </c>
      <c r="F386" s="6" t="s">
        <v>213</v>
      </c>
      <c r="G386" s="6" t="s">
        <v>220</v>
      </c>
      <c r="H386" s="6" t="s">
        <v>227</v>
      </c>
      <c r="I386" s="6" t="s">
        <v>213</v>
      </c>
      <c r="J386" s="3">
        <v>1048.0</v>
      </c>
      <c r="M386" s="3">
        <v>29980.0</v>
      </c>
      <c r="O386" s="7">
        <f t="shared" si="32"/>
        <v>31419.04</v>
      </c>
    </row>
    <row r="387">
      <c r="A387" s="6">
        <v>2025.0</v>
      </c>
      <c r="B387" s="6" t="s">
        <v>339</v>
      </c>
      <c r="C387" s="1" t="s">
        <v>205</v>
      </c>
      <c r="F387" s="6" t="s">
        <v>213</v>
      </c>
      <c r="G387" s="6" t="s">
        <v>220</v>
      </c>
      <c r="H387" s="6" t="s">
        <v>265</v>
      </c>
      <c r="I387" s="6" t="s">
        <v>213</v>
      </c>
      <c r="J387" s="3">
        <v>1094.0</v>
      </c>
      <c r="M387" s="3">
        <v>15380.0</v>
      </c>
      <c r="O387" s="7">
        <f t="shared" si="32"/>
        <v>16825.72</v>
      </c>
    </row>
    <row r="388">
      <c r="A388" s="6">
        <v>2025.0</v>
      </c>
      <c r="B388" s="6" t="s">
        <v>339</v>
      </c>
      <c r="C388" s="1" t="s">
        <v>205</v>
      </c>
      <c r="F388" s="6" t="s">
        <v>213</v>
      </c>
      <c r="G388" s="6" t="s">
        <v>220</v>
      </c>
      <c r="H388" s="6" t="s">
        <v>266</v>
      </c>
      <c r="I388" s="6" t="s">
        <v>213</v>
      </c>
      <c r="J388" s="3">
        <v>940.0</v>
      </c>
      <c r="M388" s="3">
        <v>26980.0</v>
      </c>
      <c r="O388" s="7">
        <f t="shared" si="32"/>
        <v>25361.2</v>
      </c>
    </row>
    <row r="389">
      <c r="A389" s="6">
        <v>2025.0</v>
      </c>
      <c r="B389" s="6" t="s">
        <v>339</v>
      </c>
      <c r="C389" s="1" t="s">
        <v>205</v>
      </c>
      <c r="F389" s="6" t="s">
        <v>213</v>
      </c>
      <c r="G389" s="6" t="s">
        <v>220</v>
      </c>
      <c r="H389" s="6" t="s">
        <v>226</v>
      </c>
      <c r="I389" s="6" t="s">
        <v>213</v>
      </c>
      <c r="J389" s="3">
        <v>788.0</v>
      </c>
      <c r="K389" s="6"/>
      <c r="M389" s="6">
        <v>15700.0</v>
      </c>
      <c r="O389" s="7">
        <f t="shared" si="32"/>
        <v>12371.6</v>
      </c>
    </row>
    <row r="390">
      <c r="A390" s="6">
        <v>2025.0</v>
      </c>
      <c r="B390" s="6" t="s">
        <v>339</v>
      </c>
      <c r="C390" s="1" t="s">
        <v>205</v>
      </c>
      <c r="F390" s="6" t="s">
        <v>213</v>
      </c>
      <c r="G390" s="6" t="s">
        <v>220</v>
      </c>
      <c r="H390" s="6" t="s">
        <v>240</v>
      </c>
      <c r="I390" s="6" t="s">
        <v>213</v>
      </c>
      <c r="J390" s="6">
        <f>2535+2805</f>
        <v>5340</v>
      </c>
      <c r="K390" s="6"/>
      <c r="M390" s="6">
        <v>8580.0</v>
      </c>
      <c r="O390" s="7">
        <f t="shared" si="32"/>
        <v>45817.2</v>
      </c>
    </row>
    <row r="391">
      <c r="A391" s="6">
        <v>2025.0</v>
      </c>
      <c r="B391" s="6" t="s">
        <v>339</v>
      </c>
      <c r="C391" s="1" t="s">
        <v>205</v>
      </c>
      <c r="F391" s="6" t="s">
        <v>213</v>
      </c>
      <c r="G391" s="6" t="s">
        <v>220</v>
      </c>
      <c r="H391" s="6" t="s">
        <v>341</v>
      </c>
      <c r="I391" s="6" t="s">
        <v>213</v>
      </c>
      <c r="J391" s="3">
        <v>755.0</v>
      </c>
      <c r="M391" s="3">
        <v>3780.0</v>
      </c>
      <c r="O391" s="7">
        <f t="shared" si="32"/>
        <v>2853.9</v>
      </c>
    </row>
    <row r="392">
      <c r="A392" s="6">
        <v>2025.0</v>
      </c>
      <c r="B392" s="6" t="s">
        <v>339</v>
      </c>
      <c r="C392" s="1" t="s">
        <v>205</v>
      </c>
      <c r="F392" s="6" t="s">
        <v>213</v>
      </c>
      <c r="G392" s="6" t="s">
        <v>216</v>
      </c>
      <c r="H392" s="6" t="s">
        <v>263</v>
      </c>
      <c r="I392" s="6" t="s">
        <v>213</v>
      </c>
      <c r="J392" s="3">
        <v>2540.0</v>
      </c>
      <c r="M392" s="3">
        <v>2380.0</v>
      </c>
      <c r="O392" s="7">
        <f t="shared" si="32"/>
        <v>6045.2</v>
      </c>
    </row>
    <row r="393">
      <c r="A393" s="6">
        <v>2025.0</v>
      </c>
      <c r="B393" s="6" t="s">
        <v>339</v>
      </c>
      <c r="C393" s="1" t="s">
        <v>205</v>
      </c>
      <c r="F393" s="6" t="s">
        <v>213</v>
      </c>
      <c r="G393" s="6" t="s">
        <v>218</v>
      </c>
      <c r="H393" s="6" t="s">
        <v>239</v>
      </c>
      <c r="I393" s="6" t="s">
        <v>213</v>
      </c>
      <c r="J393" s="3">
        <v>745.0</v>
      </c>
      <c r="K393" s="6"/>
      <c r="M393" s="6">
        <v>2780.0</v>
      </c>
      <c r="O393" s="7">
        <f t="shared" si="32"/>
        <v>2071.1</v>
      </c>
    </row>
    <row r="394">
      <c r="A394" s="6">
        <v>2025.0</v>
      </c>
      <c r="B394" s="6" t="s">
        <v>339</v>
      </c>
      <c r="C394" s="1" t="s">
        <v>205</v>
      </c>
      <c r="F394" s="6" t="s">
        <v>213</v>
      </c>
      <c r="G394" s="6" t="s">
        <v>218</v>
      </c>
      <c r="H394" s="6" t="s">
        <v>342</v>
      </c>
      <c r="I394" s="6" t="s">
        <v>213</v>
      </c>
      <c r="J394" s="3">
        <v>1435.0</v>
      </c>
      <c r="K394" s="6"/>
      <c r="M394" s="6">
        <v>4300.0</v>
      </c>
      <c r="O394" s="7">
        <f t="shared" si="32"/>
        <v>6170.5</v>
      </c>
    </row>
    <row r="395">
      <c r="A395" s="6">
        <v>2025.0</v>
      </c>
      <c r="B395" s="6" t="s">
        <v>339</v>
      </c>
      <c r="C395" s="1" t="s">
        <v>205</v>
      </c>
      <c r="F395" s="6" t="s">
        <v>213</v>
      </c>
      <c r="G395" s="6" t="s">
        <v>218</v>
      </c>
      <c r="H395" s="6" t="s">
        <v>242</v>
      </c>
      <c r="I395" s="6" t="s">
        <v>213</v>
      </c>
      <c r="J395" s="3">
        <v>3855.0</v>
      </c>
      <c r="K395" s="6"/>
      <c r="M395" s="6">
        <v>5180.0</v>
      </c>
      <c r="O395" s="7">
        <f t="shared" si="32"/>
        <v>19968.9</v>
      </c>
    </row>
    <row r="396">
      <c r="A396" s="6">
        <v>2025.0</v>
      </c>
      <c r="B396" s="6" t="s">
        <v>339</v>
      </c>
      <c r="C396" s="1" t="s">
        <v>205</v>
      </c>
      <c r="F396" s="6" t="s">
        <v>213</v>
      </c>
      <c r="G396" s="6" t="s">
        <v>218</v>
      </c>
      <c r="H396" s="6" t="s">
        <v>343</v>
      </c>
      <c r="I396" s="6" t="s">
        <v>213</v>
      </c>
      <c r="J396" s="3">
        <v>490.0</v>
      </c>
      <c r="K396" s="6"/>
      <c r="M396" s="6">
        <v>4780.0</v>
      </c>
      <c r="O396" s="7">
        <f t="shared" si="32"/>
        <v>2342.2</v>
      </c>
    </row>
    <row r="397">
      <c r="A397" s="6">
        <v>2025.0</v>
      </c>
      <c r="B397" s="6" t="s">
        <v>339</v>
      </c>
      <c r="C397" s="1" t="s">
        <v>205</v>
      </c>
      <c r="F397" s="6" t="s">
        <v>213</v>
      </c>
      <c r="G397" s="6" t="s">
        <v>218</v>
      </c>
      <c r="H397" s="6" t="s">
        <v>268</v>
      </c>
      <c r="I397" s="6" t="s">
        <v>213</v>
      </c>
      <c r="J397" s="3">
        <v>970.0</v>
      </c>
      <c r="M397" s="3">
        <v>3980.0</v>
      </c>
      <c r="O397" s="7">
        <f t="shared" si="32"/>
        <v>3860.6</v>
      </c>
    </row>
    <row r="398">
      <c r="A398" s="6">
        <v>2025.0</v>
      </c>
      <c r="B398" s="6" t="s">
        <v>339</v>
      </c>
      <c r="C398" s="1" t="s">
        <v>205</v>
      </c>
      <c r="F398" s="6" t="s">
        <v>213</v>
      </c>
      <c r="G398" s="6" t="s">
        <v>218</v>
      </c>
      <c r="H398" s="6" t="s">
        <v>344</v>
      </c>
      <c r="I398" s="6" t="s">
        <v>213</v>
      </c>
      <c r="J398" s="3">
        <v>310.0</v>
      </c>
      <c r="M398" s="3">
        <v>4980.0</v>
      </c>
      <c r="O398" s="7">
        <f t="shared" si="32"/>
        <v>1543.8</v>
      </c>
    </row>
    <row r="399">
      <c r="A399" s="6">
        <v>2025.0</v>
      </c>
      <c r="B399" s="6" t="s">
        <v>339</v>
      </c>
      <c r="C399" s="1" t="s">
        <v>205</v>
      </c>
      <c r="F399" s="6" t="s">
        <v>213</v>
      </c>
      <c r="G399" s="6" t="s">
        <v>218</v>
      </c>
      <c r="H399" s="6" t="s">
        <v>345</v>
      </c>
      <c r="I399" s="6" t="s">
        <v>169</v>
      </c>
      <c r="J399" s="6">
        <v>500.0</v>
      </c>
      <c r="L399" s="6">
        <v>1.0</v>
      </c>
      <c r="M399" s="6">
        <v>1500.0</v>
      </c>
      <c r="O399" s="7">
        <f>M399*L399</f>
        <v>1500</v>
      </c>
    </row>
    <row r="400">
      <c r="A400" s="6">
        <v>2025.0</v>
      </c>
      <c r="B400" s="6" t="s">
        <v>339</v>
      </c>
      <c r="C400" s="1" t="s">
        <v>205</v>
      </c>
      <c r="F400" s="6" t="s">
        <v>213</v>
      </c>
      <c r="G400" s="6" t="s">
        <v>218</v>
      </c>
      <c r="H400" s="6" t="s">
        <v>238</v>
      </c>
      <c r="I400" s="6" t="s">
        <v>213</v>
      </c>
      <c r="J400" s="6">
        <f>790+685</f>
        <v>1475</v>
      </c>
      <c r="K400" s="6"/>
      <c r="M400" s="6">
        <v>4180.0</v>
      </c>
      <c r="O400" s="7">
        <f t="shared" ref="O400:O404" si="33">M400*J400/1000</f>
        <v>6165.5</v>
      </c>
    </row>
    <row r="401">
      <c r="A401" s="6">
        <v>2025.0</v>
      </c>
      <c r="B401" s="6" t="s">
        <v>339</v>
      </c>
      <c r="C401" s="1" t="s">
        <v>205</v>
      </c>
      <c r="F401" s="6" t="s">
        <v>213</v>
      </c>
      <c r="G401" s="6" t="s">
        <v>218</v>
      </c>
      <c r="H401" s="6" t="s">
        <v>230</v>
      </c>
      <c r="I401" s="6" t="s">
        <v>213</v>
      </c>
      <c r="J401" s="3">
        <v>3595.0</v>
      </c>
      <c r="K401" s="6"/>
      <c r="M401" s="6">
        <v>2980.0</v>
      </c>
      <c r="O401" s="7">
        <f t="shared" si="33"/>
        <v>10713.1</v>
      </c>
    </row>
    <row r="402">
      <c r="A402" s="6">
        <v>2025.0</v>
      </c>
      <c r="B402" s="6" t="s">
        <v>339</v>
      </c>
      <c r="C402" s="1" t="s">
        <v>205</v>
      </c>
      <c r="F402" s="6" t="s">
        <v>213</v>
      </c>
      <c r="G402" s="6" t="s">
        <v>218</v>
      </c>
      <c r="H402" s="6" t="s">
        <v>243</v>
      </c>
      <c r="I402" s="6" t="s">
        <v>213</v>
      </c>
      <c r="J402" s="3">
        <f>705+575</f>
        <v>1280</v>
      </c>
      <c r="K402" s="6"/>
      <c r="M402" s="6">
        <v>4780.0</v>
      </c>
      <c r="O402" s="7">
        <f t="shared" si="33"/>
        <v>6118.4</v>
      </c>
    </row>
    <row r="403">
      <c r="A403" s="6">
        <v>2025.0</v>
      </c>
      <c r="B403" s="6" t="s">
        <v>339</v>
      </c>
      <c r="C403" s="1" t="s">
        <v>205</v>
      </c>
      <c r="F403" s="6" t="s">
        <v>213</v>
      </c>
      <c r="G403" s="6" t="s">
        <v>218</v>
      </c>
      <c r="H403" s="6" t="s">
        <v>237</v>
      </c>
      <c r="I403" s="6" t="s">
        <v>213</v>
      </c>
      <c r="J403" s="3">
        <v>2080.0</v>
      </c>
      <c r="K403" s="6"/>
      <c r="M403" s="6">
        <v>3180.0</v>
      </c>
      <c r="O403" s="7">
        <f t="shared" si="33"/>
        <v>6614.4</v>
      </c>
    </row>
    <row r="404">
      <c r="A404" s="6">
        <v>2025.0</v>
      </c>
      <c r="B404" s="6" t="s">
        <v>339</v>
      </c>
      <c r="C404" s="1" t="s">
        <v>205</v>
      </c>
      <c r="F404" s="6" t="s">
        <v>213</v>
      </c>
      <c r="G404" s="6" t="s">
        <v>218</v>
      </c>
      <c r="H404" s="6" t="s">
        <v>273</v>
      </c>
      <c r="I404" s="6" t="s">
        <v>213</v>
      </c>
      <c r="J404" s="3">
        <v>2155.0</v>
      </c>
      <c r="M404" s="6">
        <v>980.0</v>
      </c>
      <c r="O404" s="7">
        <f t="shared" si="33"/>
        <v>2111.9</v>
      </c>
    </row>
    <row r="405">
      <c r="A405" s="6">
        <v>2025.0</v>
      </c>
      <c r="B405" s="6" t="s">
        <v>339</v>
      </c>
      <c r="C405" s="1" t="s">
        <v>205</v>
      </c>
      <c r="F405" s="6" t="s">
        <v>213</v>
      </c>
      <c r="G405" s="6" t="s">
        <v>232</v>
      </c>
      <c r="H405" s="6" t="s">
        <v>233</v>
      </c>
      <c r="I405" s="6" t="s">
        <v>39</v>
      </c>
      <c r="J405" s="6">
        <v>500.0</v>
      </c>
      <c r="K405" s="6"/>
      <c r="L405" s="6">
        <v>1.0</v>
      </c>
      <c r="M405" s="6">
        <v>3300.0</v>
      </c>
      <c r="O405" s="7">
        <f t="shared" ref="O405:O411" si="34">M405*L405</f>
        <v>3300</v>
      </c>
    </row>
    <row r="406">
      <c r="A406" s="6">
        <v>2025.0</v>
      </c>
      <c r="B406" s="6" t="s">
        <v>339</v>
      </c>
      <c r="C406" s="1" t="s">
        <v>205</v>
      </c>
      <c r="F406" s="6" t="s">
        <v>213</v>
      </c>
      <c r="G406" s="6" t="s">
        <v>232</v>
      </c>
      <c r="H406" s="6" t="s">
        <v>234</v>
      </c>
      <c r="I406" s="6" t="s">
        <v>39</v>
      </c>
      <c r="J406" s="6">
        <v>500.0</v>
      </c>
      <c r="K406" s="6"/>
      <c r="L406" s="6">
        <v>1.0</v>
      </c>
      <c r="M406" s="6">
        <v>4290.0</v>
      </c>
      <c r="O406" s="7">
        <f t="shared" si="34"/>
        <v>4290</v>
      </c>
    </row>
    <row r="407">
      <c r="A407" s="6">
        <v>2025.0</v>
      </c>
      <c r="B407" s="6" t="s">
        <v>339</v>
      </c>
      <c r="C407" s="1" t="s">
        <v>205</v>
      </c>
      <c r="F407" s="6" t="s">
        <v>213</v>
      </c>
      <c r="G407" s="6" t="s">
        <v>223</v>
      </c>
      <c r="H407" s="6" t="s">
        <v>224</v>
      </c>
      <c r="I407" s="6" t="s">
        <v>43</v>
      </c>
      <c r="J407" s="6">
        <v>400.0</v>
      </c>
      <c r="K407" s="6"/>
      <c r="L407" s="6">
        <v>1.0</v>
      </c>
      <c r="M407" s="6">
        <v>17950.0</v>
      </c>
      <c r="O407" s="7">
        <f t="shared" si="34"/>
        <v>17950</v>
      </c>
    </row>
    <row r="408">
      <c r="A408" s="6">
        <v>2025.0</v>
      </c>
      <c r="B408" s="6" t="s">
        <v>339</v>
      </c>
      <c r="C408" s="1" t="s">
        <v>205</v>
      </c>
      <c r="F408" s="6" t="s">
        <v>213</v>
      </c>
      <c r="G408" s="6" t="s">
        <v>232</v>
      </c>
      <c r="H408" s="6" t="s">
        <v>305</v>
      </c>
      <c r="I408" s="6" t="s">
        <v>39</v>
      </c>
      <c r="J408" s="6">
        <v>500.0</v>
      </c>
      <c r="L408" s="6">
        <v>1.0</v>
      </c>
      <c r="M408" s="6">
        <v>1890.0</v>
      </c>
      <c r="O408" s="7">
        <f t="shared" si="34"/>
        <v>1890</v>
      </c>
    </row>
    <row r="409">
      <c r="A409" s="6">
        <v>2025.0</v>
      </c>
      <c r="B409" s="6" t="s">
        <v>339</v>
      </c>
      <c r="C409" s="1" t="s">
        <v>205</v>
      </c>
      <c r="F409" s="6" t="s">
        <v>213</v>
      </c>
      <c r="G409" s="6" t="s">
        <v>214</v>
      </c>
      <c r="H409" s="6" t="s">
        <v>215</v>
      </c>
      <c r="I409" s="6" t="s">
        <v>213</v>
      </c>
      <c r="J409" s="6">
        <v>900.0</v>
      </c>
      <c r="K409" s="6"/>
      <c r="L409" s="6">
        <v>1.0</v>
      </c>
      <c r="M409" s="6">
        <v>7200.0</v>
      </c>
      <c r="O409" s="7">
        <f t="shared" si="34"/>
        <v>7200</v>
      </c>
    </row>
    <row r="410">
      <c r="A410" s="6">
        <v>2025.0</v>
      </c>
      <c r="B410" s="6" t="s">
        <v>339</v>
      </c>
      <c r="C410" s="1" t="s">
        <v>205</v>
      </c>
      <c r="F410" s="6" t="s">
        <v>213</v>
      </c>
      <c r="G410" s="6" t="s">
        <v>270</v>
      </c>
      <c r="H410" s="6" t="s">
        <v>346</v>
      </c>
      <c r="I410" s="6" t="s">
        <v>170</v>
      </c>
      <c r="J410" s="6">
        <v>500.0</v>
      </c>
      <c r="L410" s="6">
        <v>1.0</v>
      </c>
      <c r="M410" s="6">
        <v>1890.0</v>
      </c>
      <c r="O410" s="7">
        <f t="shared" si="34"/>
        <v>1890</v>
      </c>
    </row>
    <row r="411">
      <c r="A411" s="6">
        <v>2025.0</v>
      </c>
      <c r="B411" s="6" t="s">
        <v>339</v>
      </c>
      <c r="C411" s="1" t="s">
        <v>205</v>
      </c>
      <c r="F411" s="6" t="s">
        <v>213</v>
      </c>
      <c r="G411" s="6" t="s">
        <v>220</v>
      </c>
      <c r="H411" s="6" t="s">
        <v>221</v>
      </c>
      <c r="I411" s="6" t="s">
        <v>39</v>
      </c>
      <c r="J411" s="6">
        <v>160.0</v>
      </c>
      <c r="K411" s="6"/>
      <c r="L411" s="6">
        <v>1.0</v>
      </c>
      <c r="M411" s="6">
        <v>4990.0</v>
      </c>
      <c r="O411" s="7">
        <f t="shared" si="34"/>
        <v>4990</v>
      </c>
    </row>
    <row r="412">
      <c r="A412" s="24" t="s">
        <v>204</v>
      </c>
      <c r="B412" s="24"/>
      <c r="C412" s="24"/>
      <c r="D412" s="24"/>
      <c r="E412" s="24"/>
      <c r="F412" s="25"/>
      <c r="G412" s="25"/>
      <c r="H412" s="25"/>
      <c r="I412" s="25"/>
      <c r="J412" s="25"/>
      <c r="K412" s="25"/>
      <c r="L412" s="25"/>
      <c r="M412" s="25"/>
      <c r="N412" s="28" t="str">
        <f>CHANGE(O359,O412)</f>
        <v>#NAME?</v>
      </c>
      <c r="O412" s="26">
        <f>SUM(O384:O411)</f>
        <v>307641.94</v>
      </c>
    </row>
    <row r="413">
      <c r="A413" s="6">
        <v>2025.0</v>
      </c>
      <c r="B413" s="6" t="s">
        <v>160</v>
      </c>
      <c r="C413" s="1" t="s">
        <v>284</v>
      </c>
      <c r="F413" s="6" t="s">
        <v>206</v>
      </c>
      <c r="H413" s="16" t="s">
        <v>347</v>
      </c>
      <c r="L413" s="6">
        <v>2.0</v>
      </c>
      <c r="M413" s="17">
        <v>1200.0</v>
      </c>
      <c r="O413" s="7">
        <f t="shared" ref="O413:O424" si="35">M413*L413</f>
        <v>2400</v>
      </c>
      <c r="Q413" s="16"/>
      <c r="R413" s="16"/>
      <c r="S413" s="16"/>
      <c r="T413" s="16"/>
      <c r="U413" s="16"/>
    </row>
    <row r="414">
      <c r="A414" s="6">
        <v>2025.0</v>
      </c>
      <c r="B414" s="6" t="s">
        <v>160</v>
      </c>
      <c r="C414" s="1" t="s">
        <v>284</v>
      </c>
      <c r="F414" s="6" t="s">
        <v>206</v>
      </c>
      <c r="H414" s="16" t="s">
        <v>348</v>
      </c>
      <c r="L414" s="6">
        <v>1.0</v>
      </c>
      <c r="M414" s="17">
        <v>3790.0</v>
      </c>
      <c r="O414" s="7">
        <f t="shared" si="35"/>
        <v>3790</v>
      </c>
      <c r="Q414" s="16"/>
      <c r="R414" s="16"/>
      <c r="S414" s="16"/>
      <c r="T414" s="16"/>
      <c r="U414" s="16"/>
    </row>
    <row r="415">
      <c r="A415" s="6">
        <v>2025.0</v>
      </c>
      <c r="B415" s="6" t="s">
        <v>160</v>
      </c>
      <c r="C415" s="1" t="s">
        <v>284</v>
      </c>
      <c r="F415" s="6" t="s">
        <v>206</v>
      </c>
      <c r="H415" s="16" t="s">
        <v>349</v>
      </c>
      <c r="L415" s="6">
        <v>3.0</v>
      </c>
      <c r="M415" s="17">
        <v>1950.0</v>
      </c>
      <c r="N415" s="31"/>
      <c r="O415" s="7">
        <f t="shared" si="35"/>
        <v>5850</v>
      </c>
      <c r="Q415" s="16"/>
      <c r="R415" s="16"/>
      <c r="S415" s="16"/>
      <c r="T415" s="16"/>
      <c r="U415" s="16"/>
    </row>
    <row r="416">
      <c r="A416" s="6">
        <v>2025.0</v>
      </c>
      <c r="B416" s="6" t="s">
        <v>160</v>
      </c>
      <c r="C416" s="1" t="s">
        <v>284</v>
      </c>
      <c r="F416" s="6" t="s">
        <v>206</v>
      </c>
      <c r="H416" s="16" t="s">
        <v>350</v>
      </c>
      <c r="L416" s="6">
        <v>1.0</v>
      </c>
      <c r="M416" s="17">
        <v>11990.0</v>
      </c>
      <c r="O416" s="7">
        <f t="shared" si="35"/>
        <v>11990</v>
      </c>
      <c r="Q416" s="16"/>
      <c r="R416" s="16"/>
      <c r="S416" s="16"/>
      <c r="T416" s="16"/>
      <c r="U416" s="16"/>
    </row>
    <row r="417">
      <c r="A417" s="6">
        <v>2025.0</v>
      </c>
      <c r="B417" s="6" t="s">
        <v>160</v>
      </c>
      <c r="C417" s="1" t="s">
        <v>284</v>
      </c>
      <c r="F417" s="6" t="s">
        <v>206</v>
      </c>
      <c r="H417" s="16" t="s">
        <v>351</v>
      </c>
      <c r="L417" s="6">
        <v>2.0</v>
      </c>
      <c r="M417" s="17">
        <v>2650.0</v>
      </c>
      <c r="O417" s="7">
        <f t="shared" si="35"/>
        <v>5300</v>
      </c>
      <c r="Q417" s="16"/>
      <c r="R417" s="16"/>
      <c r="S417" s="16"/>
      <c r="T417" s="16"/>
      <c r="U417" s="16"/>
    </row>
    <row r="418">
      <c r="A418" s="6">
        <v>2025.0</v>
      </c>
      <c r="B418" s="6" t="s">
        <v>160</v>
      </c>
      <c r="C418" s="1" t="s">
        <v>284</v>
      </c>
      <c r="F418" s="6" t="s">
        <v>206</v>
      </c>
      <c r="H418" s="16" t="s">
        <v>352</v>
      </c>
      <c r="L418" s="6">
        <v>1.0</v>
      </c>
      <c r="M418" s="17">
        <v>8700.0</v>
      </c>
      <c r="O418" s="7">
        <f t="shared" si="35"/>
        <v>8700</v>
      </c>
      <c r="Q418" s="16"/>
      <c r="R418" s="16"/>
      <c r="S418" s="16"/>
      <c r="T418" s="16"/>
      <c r="U418" s="16"/>
    </row>
    <row r="419">
      <c r="A419" s="6">
        <v>2025.0</v>
      </c>
      <c r="B419" s="6" t="s">
        <v>160</v>
      </c>
      <c r="C419" s="1" t="s">
        <v>284</v>
      </c>
      <c r="F419" s="6" t="s">
        <v>206</v>
      </c>
      <c r="H419" s="16" t="s">
        <v>353</v>
      </c>
      <c r="L419" s="6">
        <v>2.0</v>
      </c>
      <c r="M419" s="17">
        <v>4990.0</v>
      </c>
      <c r="O419" s="7">
        <f t="shared" si="35"/>
        <v>9980</v>
      </c>
      <c r="Q419" s="16"/>
      <c r="R419" s="16"/>
      <c r="S419" s="16"/>
      <c r="T419" s="16"/>
      <c r="U419" s="16"/>
    </row>
    <row r="420">
      <c r="A420" s="6">
        <v>2025.0</v>
      </c>
      <c r="B420" s="6" t="s">
        <v>160</v>
      </c>
      <c r="C420" s="1" t="s">
        <v>284</v>
      </c>
      <c r="F420" s="6" t="s">
        <v>206</v>
      </c>
      <c r="H420" s="16" t="s">
        <v>354</v>
      </c>
      <c r="L420" s="6">
        <v>1.0</v>
      </c>
      <c r="M420" s="17">
        <v>4950.0</v>
      </c>
      <c r="O420" s="7">
        <f t="shared" si="35"/>
        <v>4950</v>
      </c>
      <c r="Q420" s="16"/>
      <c r="R420" s="16"/>
      <c r="S420" s="16"/>
      <c r="T420" s="16"/>
      <c r="U420" s="16"/>
    </row>
    <row r="421">
      <c r="A421" s="6">
        <v>2025.0</v>
      </c>
      <c r="B421" s="6" t="s">
        <v>160</v>
      </c>
      <c r="C421" s="1" t="s">
        <v>284</v>
      </c>
      <c r="F421" s="6" t="s">
        <v>206</v>
      </c>
      <c r="H421" s="16" t="s">
        <v>355</v>
      </c>
      <c r="L421" s="6">
        <v>1.0</v>
      </c>
      <c r="M421" s="17">
        <v>2600.0</v>
      </c>
      <c r="O421" s="7">
        <f t="shared" si="35"/>
        <v>2600</v>
      </c>
      <c r="Q421" s="16"/>
      <c r="R421" s="16"/>
      <c r="S421" s="16"/>
      <c r="T421" s="16"/>
      <c r="U421" s="16"/>
    </row>
    <row r="422">
      <c r="A422" s="6">
        <v>2025.0</v>
      </c>
      <c r="B422" s="6" t="s">
        <v>160</v>
      </c>
      <c r="C422" s="1" t="s">
        <v>284</v>
      </c>
      <c r="F422" s="6" t="s">
        <v>206</v>
      </c>
      <c r="H422" s="16" t="s">
        <v>356</v>
      </c>
      <c r="L422" s="6">
        <v>1.0</v>
      </c>
      <c r="M422" s="17">
        <v>9900.0</v>
      </c>
      <c r="O422" s="7">
        <f t="shared" si="35"/>
        <v>9900</v>
      </c>
      <c r="Q422" s="16"/>
      <c r="R422" s="16"/>
      <c r="S422" s="16"/>
      <c r="T422" s="16"/>
      <c r="U422" s="16"/>
    </row>
    <row r="423">
      <c r="A423" s="6">
        <v>2025.0</v>
      </c>
      <c r="B423" s="6" t="s">
        <v>160</v>
      </c>
      <c r="C423" s="1" t="s">
        <v>284</v>
      </c>
      <c r="F423" s="6" t="s">
        <v>206</v>
      </c>
      <c r="H423" s="16" t="s">
        <v>357</v>
      </c>
      <c r="L423" s="6">
        <v>1.0</v>
      </c>
      <c r="M423" s="17">
        <v>7990.0</v>
      </c>
      <c r="O423" s="7">
        <f t="shared" si="35"/>
        <v>7990</v>
      </c>
      <c r="Q423" s="16"/>
      <c r="R423" s="16"/>
      <c r="S423" s="16"/>
      <c r="T423" s="16"/>
      <c r="U423" s="16"/>
    </row>
    <row r="424">
      <c r="A424" s="6">
        <v>2025.0</v>
      </c>
      <c r="B424" s="6" t="s">
        <v>160</v>
      </c>
      <c r="C424" s="1" t="s">
        <v>284</v>
      </c>
      <c r="F424" s="6" t="s">
        <v>206</v>
      </c>
      <c r="H424" s="16" t="s">
        <v>358</v>
      </c>
      <c r="L424" s="6">
        <v>1.0</v>
      </c>
      <c r="M424" s="17">
        <v>2200.0</v>
      </c>
      <c r="O424" s="7">
        <f t="shared" si="35"/>
        <v>2200</v>
      </c>
    </row>
    <row r="425">
      <c r="A425" s="24" t="s">
        <v>204</v>
      </c>
      <c r="B425" s="24"/>
      <c r="C425" s="24"/>
      <c r="D425" s="24"/>
      <c r="E425" s="24"/>
      <c r="F425" s="25"/>
      <c r="G425" s="25"/>
      <c r="H425" s="25"/>
      <c r="I425" s="25"/>
      <c r="J425" s="25"/>
      <c r="K425" s="25"/>
      <c r="L425" s="25"/>
      <c r="M425" s="25"/>
      <c r="N425" s="28" t="str">
        <f>CHANGE(O372,O425)</f>
        <v>#NAME?</v>
      </c>
      <c r="O425" s="26">
        <f>SUM(O413:O424)</f>
        <v>75650</v>
      </c>
    </row>
    <row r="426">
      <c r="A426" s="6">
        <v>2025.0</v>
      </c>
      <c r="B426" s="6" t="s">
        <v>339</v>
      </c>
      <c r="C426" s="1" t="s">
        <v>205</v>
      </c>
      <c r="F426" s="6" t="s">
        <v>206</v>
      </c>
      <c r="H426" s="6" t="s">
        <v>350</v>
      </c>
      <c r="L426" s="6">
        <v>1.0</v>
      </c>
      <c r="M426" s="6">
        <v>11990.0</v>
      </c>
      <c r="O426" s="7">
        <f t="shared" ref="O426:O439" si="36">M426*L426</f>
        <v>11990</v>
      </c>
    </row>
    <row r="427">
      <c r="A427" s="6">
        <v>2025.0</v>
      </c>
      <c r="B427" s="6" t="s">
        <v>339</v>
      </c>
      <c r="C427" s="1" t="s">
        <v>205</v>
      </c>
      <c r="F427" s="6" t="s">
        <v>206</v>
      </c>
      <c r="H427" s="6" t="s">
        <v>352</v>
      </c>
      <c r="L427" s="6">
        <v>1.0</v>
      </c>
      <c r="M427" s="6">
        <v>8700.0</v>
      </c>
      <c r="O427" s="7">
        <f t="shared" si="36"/>
        <v>8700</v>
      </c>
    </row>
    <row r="428">
      <c r="A428" s="6">
        <v>2025.0</v>
      </c>
      <c r="B428" s="6" t="s">
        <v>339</v>
      </c>
      <c r="C428" s="1" t="s">
        <v>205</v>
      </c>
      <c r="F428" s="6" t="s">
        <v>206</v>
      </c>
      <c r="H428" s="6" t="s">
        <v>359</v>
      </c>
      <c r="L428" s="6">
        <v>1.0</v>
      </c>
      <c r="M428" s="6">
        <v>4490.0</v>
      </c>
      <c r="O428" s="7">
        <f t="shared" si="36"/>
        <v>4490</v>
      </c>
    </row>
    <row r="429">
      <c r="A429" s="6">
        <v>2025.0</v>
      </c>
      <c r="B429" s="6" t="s">
        <v>339</v>
      </c>
      <c r="C429" s="1" t="s">
        <v>205</v>
      </c>
      <c r="F429" s="6" t="s">
        <v>206</v>
      </c>
      <c r="H429" s="6" t="s">
        <v>360</v>
      </c>
      <c r="L429" s="6">
        <v>3.0</v>
      </c>
      <c r="M429" s="6">
        <v>1990.0</v>
      </c>
      <c r="O429" s="7">
        <f t="shared" si="36"/>
        <v>5970</v>
      </c>
    </row>
    <row r="430">
      <c r="A430" s="6">
        <v>2025.0</v>
      </c>
      <c r="B430" s="6" t="s">
        <v>339</v>
      </c>
      <c r="C430" s="1" t="s">
        <v>205</v>
      </c>
      <c r="F430" s="6" t="s">
        <v>206</v>
      </c>
      <c r="H430" s="6" t="s">
        <v>349</v>
      </c>
      <c r="L430" s="6">
        <v>3.0</v>
      </c>
      <c r="M430" s="6">
        <v>1950.0</v>
      </c>
      <c r="O430" s="7">
        <f t="shared" si="36"/>
        <v>5850</v>
      </c>
    </row>
    <row r="431">
      <c r="A431" s="6">
        <v>2025.0</v>
      </c>
      <c r="B431" s="6" t="s">
        <v>339</v>
      </c>
      <c r="C431" s="1" t="s">
        <v>205</v>
      </c>
      <c r="F431" s="6" t="s">
        <v>206</v>
      </c>
      <c r="H431" s="6" t="s">
        <v>361</v>
      </c>
      <c r="L431" s="6">
        <v>1.0</v>
      </c>
      <c r="M431" s="6">
        <v>1150.0</v>
      </c>
      <c r="O431" s="7">
        <f t="shared" si="36"/>
        <v>1150</v>
      </c>
    </row>
    <row r="432">
      <c r="A432" s="6">
        <v>2025.0</v>
      </c>
      <c r="B432" s="6" t="s">
        <v>339</v>
      </c>
      <c r="C432" s="1" t="s">
        <v>205</v>
      </c>
      <c r="F432" s="6" t="s">
        <v>206</v>
      </c>
      <c r="H432" s="6" t="s">
        <v>362</v>
      </c>
      <c r="L432" s="6">
        <v>1.0</v>
      </c>
      <c r="M432" s="6">
        <v>1150.0</v>
      </c>
      <c r="O432" s="7">
        <f t="shared" si="36"/>
        <v>1150</v>
      </c>
    </row>
    <row r="433">
      <c r="A433" s="6">
        <v>2025.0</v>
      </c>
      <c r="B433" s="6" t="s">
        <v>339</v>
      </c>
      <c r="C433" s="1" t="s">
        <v>205</v>
      </c>
      <c r="F433" s="6" t="s">
        <v>206</v>
      </c>
      <c r="H433" s="6" t="s">
        <v>363</v>
      </c>
      <c r="L433" s="6">
        <v>1.0</v>
      </c>
      <c r="M433" s="6">
        <v>5350.0</v>
      </c>
      <c r="O433" s="7">
        <f t="shared" si="36"/>
        <v>5350</v>
      </c>
    </row>
    <row r="434">
      <c r="A434" s="6">
        <v>2025.0</v>
      </c>
      <c r="B434" s="6" t="s">
        <v>339</v>
      </c>
      <c r="C434" s="1" t="s">
        <v>205</v>
      </c>
      <c r="F434" s="6" t="s">
        <v>206</v>
      </c>
      <c r="H434" s="6" t="s">
        <v>364</v>
      </c>
      <c r="L434" s="6">
        <v>1.0</v>
      </c>
      <c r="M434" s="6">
        <v>1750.0</v>
      </c>
      <c r="O434" s="7">
        <f t="shared" si="36"/>
        <v>1750</v>
      </c>
    </row>
    <row r="435">
      <c r="A435" s="6">
        <v>2025.0</v>
      </c>
      <c r="B435" s="6" t="s">
        <v>339</v>
      </c>
      <c r="C435" s="1" t="s">
        <v>205</v>
      </c>
      <c r="F435" s="6" t="s">
        <v>206</v>
      </c>
      <c r="H435" s="6" t="s">
        <v>347</v>
      </c>
      <c r="L435" s="6">
        <v>2.0</v>
      </c>
      <c r="M435" s="6">
        <v>1150.0</v>
      </c>
      <c r="O435" s="7">
        <f t="shared" si="36"/>
        <v>2300</v>
      </c>
    </row>
    <row r="436">
      <c r="A436" s="6">
        <v>2025.0</v>
      </c>
      <c r="B436" s="6" t="s">
        <v>339</v>
      </c>
      <c r="C436" s="1" t="s">
        <v>205</v>
      </c>
      <c r="F436" s="6" t="s">
        <v>206</v>
      </c>
      <c r="H436" s="6" t="s">
        <v>354</v>
      </c>
      <c r="L436" s="6">
        <v>1.0</v>
      </c>
      <c r="M436" s="6">
        <v>4950.0</v>
      </c>
      <c r="O436" s="7">
        <f t="shared" si="36"/>
        <v>4950</v>
      </c>
    </row>
    <row r="437">
      <c r="A437" s="6">
        <v>2025.0</v>
      </c>
      <c r="B437" s="6" t="s">
        <v>339</v>
      </c>
      <c r="C437" s="1" t="s">
        <v>205</v>
      </c>
      <c r="F437" s="6" t="s">
        <v>206</v>
      </c>
      <c r="H437" s="6" t="s">
        <v>353</v>
      </c>
      <c r="L437" s="6">
        <v>2.0</v>
      </c>
      <c r="M437" s="6">
        <v>4990.0</v>
      </c>
      <c r="O437" s="7">
        <f t="shared" si="36"/>
        <v>9980</v>
      </c>
    </row>
    <row r="438">
      <c r="A438" s="6">
        <v>2025.0</v>
      </c>
      <c r="B438" s="6" t="s">
        <v>339</v>
      </c>
      <c r="C438" s="1" t="s">
        <v>205</v>
      </c>
      <c r="F438" s="6" t="s">
        <v>206</v>
      </c>
      <c r="H438" s="6" t="s">
        <v>365</v>
      </c>
      <c r="L438" s="6">
        <v>1.0</v>
      </c>
      <c r="M438" s="6">
        <v>2470.0</v>
      </c>
      <c r="O438" s="7">
        <f t="shared" si="36"/>
        <v>2470</v>
      </c>
    </row>
    <row r="439">
      <c r="A439" s="6">
        <v>2025.0</v>
      </c>
      <c r="B439" s="6" t="s">
        <v>339</v>
      </c>
      <c r="C439" s="1" t="s">
        <v>205</v>
      </c>
      <c r="F439" s="6" t="s">
        <v>206</v>
      </c>
      <c r="H439" s="6" t="s">
        <v>355</v>
      </c>
      <c r="L439" s="6">
        <v>1.0</v>
      </c>
      <c r="M439" s="6">
        <v>2600.0</v>
      </c>
      <c r="O439" s="7">
        <f t="shared" si="36"/>
        <v>2600</v>
      </c>
    </row>
    <row r="440">
      <c r="A440" s="24" t="s">
        <v>204</v>
      </c>
      <c r="B440" s="24"/>
      <c r="C440" s="24"/>
      <c r="D440" s="24"/>
      <c r="E440" s="24"/>
      <c r="F440" s="25"/>
      <c r="G440" s="25"/>
      <c r="H440" s="25"/>
      <c r="I440" s="25"/>
      <c r="J440" s="25"/>
      <c r="K440" s="25"/>
      <c r="L440" s="25"/>
      <c r="M440" s="25"/>
      <c r="N440" s="28" t="str">
        <f>CHANGE(O387,O440)</f>
        <v>#NAME?</v>
      </c>
      <c r="O440" s="26">
        <f>SUM(O426:O439)</f>
        <v>68700</v>
      </c>
    </row>
    <row r="441">
      <c r="A441" s="6">
        <v>2025.0</v>
      </c>
      <c r="B441" s="6" t="s">
        <v>339</v>
      </c>
      <c r="C441" s="1" t="s">
        <v>284</v>
      </c>
      <c r="F441" s="6" t="s">
        <v>206</v>
      </c>
      <c r="H441" s="6" t="s">
        <v>366</v>
      </c>
      <c r="L441" s="6">
        <v>1.0</v>
      </c>
      <c r="M441" s="6">
        <v>2450.0</v>
      </c>
      <c r="O441" s="7">
        <f t="shared" ref="O441:O455" si="37">M441*L441</f>
        <v>2450</v>
      </c>
    </row>
    <row r="442">
      <c r="A442" s="6">
        <v>2025.0</v>
      </c>
      <c r="B442" s="6" t="s">
        <v>339</v>
      </c>
      <c r="C442" s="1" t="s">
        <v>284</v>
      </c>
      <c r="F442" s="6" t="s">
        <v>206</v>
      </c>
      <c r="H442" s="6" t="s">
        <v>367</v>
      </c>
      <c r="L442" s="6">
        <v>1.0</v>
      </c>
      <c r="M442" s="6">
        <v>4950.0</v>
      </c>
      <c r="O442" s="7">
        <f t="shared" si="37"/>
        <v>4950</v>
      </c>
    </row>
    <row r="443">
      <c r="A443" s="6">
        <v>2025.0</v>
      </c>
      <c r="B443" s="6" t="s">
        <v>339</v>
      </c>
      <c r="C443" s="1" t="s">
        <v>284</v>
      </c>
      <c r="F443" s="6" t="s">
        <v>206</v>
      </c>
      <c r="H443" s="6" t="s">
        <v>368</v>
      </c>
      <c r="L443" s="6">
        <v>1.0</v>
      </c>
      <c r="M443" s="6">
        <v>2880.0</v>
      </c>
      <c r="O443" s="7">
        <f t="shared" si="37"/>
        <v>2880</v>
      </c>
    </row>
    <row r="444">
      <c r="A444" s="6">
        <v>2025.0</v>
      </c>
      <c r="B444" s="6" t="s">
        <v>339</v>
      </c>
      <c r="C444" s="1" t="s">
        <v>284</v>
      </c>
      <c r="F444" s="6" t="s">
        <v>206</v>
      </c>
      <c r="H444" s="6" t="s">
        <v>369</v>
      </c>
      <c r="L444" s="6">
        <v>1.0</v>
      </c>
      <c r="M444" s="6">
        <v>3490.0</v>
      </c>
      <c r="O444" s="7">
        <f t="shared" si="37"/>
        <v>3490</v>
      </c>
    </row>
    <row r="445">
      <c r="A445" s="6">
        <v>2025.0</v>
      </c>
      <c r="B445" s="6" t="s">
        <v>339</v>
      </c>
      <c r="C445" s="1" t="s">
        <v>284</v>
      </c>
      <c r="F445" s="6" t="s">
        <v>206</v>
      </c>
      <c r="H445" s="6" t="s">
        <v>351</v>
      </c>
      <c r="L445" s="6">
        <v>2.0</v>
      </c>
      <c r="M445" s="6">
        <v>2700.0</v>
      </c>
      <c r="O445" s="7">
        <f t="shared" si="37"/>
        <v>5400</v>
      </c>
    </row>
    <row r="446">
      <c r="A446" s="6">
        <v>2025.0</v>
      </c>
      <c r="B446" s="6" t="s">
        <v>339</v>
      </c>
      <c r="C446" s="1" t="s">
        <v>284</v>
      </c>
      <c r="F446" s="6" t="s">
        <v>206</v>
      </c>
      <c r="H446" s="6" t="s">
        <v>348</v>
      </c>
      <c r="L446" s="6">
        <v>1.0</v>
      </c>
      <c r="M446" s="6">
        <v>3790.0</v>
      </c>
      <c r="O446" s="7">
        <f t="shared" si="37"/>
        <v>3790</v>
      </c>
    </row>
    <row r="447">
      <c r="A447" s="6">
        <v>2025.0</v>
      </c>
      <c r="B447" s="6" t="s">
        <v>339</v>
      </c>
      <c r="C447" s="1" t="s">
        <v>284</v>
      </c>
      <c r="F447" s="6" t="s">
        <v>206</v>
      </c>
      <c r="H447" s="6" t="s">
        <v>359</v>
      </c>
      <c r="L447" s="6">
        <v>1.0</v>
      </c>
      <c r="M447" s="6">
        <v>4490.0</v>
      </c>
      <c r="O447" s="7">
        <f t="shared" si="37"/>
        <v>4490</v>
      </c>
    </row>
    <row r="448">
      <c r="A448" s="6">
        <v>2025.0</v>
      </c>
      <c r="B448" s="6" t="s">
        <v>339</v>
      </c>
      <c r="C448" s="1" t="s">
        <v>284</v>
      </c>
      <c r="F448" s="6" t="s">
        <v>206</v>
      </c>
      <c r="H448" s="6" t="s">
        <v>350</v>
      </c>
      <c r="L448" s="6">
        <v>1.0</v>
      </c>
      <c r="M448" s="6">
        <v>11950.0</v>
      </c>
      <c r="O448" s="7">
        <f t="shared" si="37"/>
        <v>11950</v>
      </c>
    </row>
    <row r="449">
      <c r="A449" s="6">
        <v>2025.0</v>
      </c>
      <c r="B449" s="6" t="s">
        <v>339</v>
      </c>
      <c r="C449" s="1" t="s">
        <v>284</v>
      </c>
      <c r="F449" s="6" t="s">
        <v>206</v>
      </c>
      <c r="H449" s="6" t="s">
        <v>361</v>
      </c>
      <c r="L449" s="6">
        <v>1.0</v>
      </c>
      <c r="M449" s="6">
        <v>1150.0</v>
      </c>
      <c r="O449" s="7">
        <f t="shared" si="37"/>
        <v>1150</v>
      </c>
    </row>
    <row r="450">
      <c r="A450" s="6">
        <v>2025.0</v>
      </c>
      <c r="B450" s="6" t="s">
        <v>339</v>
      </c>
      <c r="C450" s="1" t="s">
        <v>284</v>
      </c>
      <c r="F450" s="6" t="s">
        <v>206</v>
      </c>
      <c r="H450" s="6" t="s">
        <v>347</v>
      </c>
      <c r="L450" s="6">
        <v>1.0</v>
      </c>
      <c r="M450" s="6">
        <v>1150.0</v>
      </c>
      <c r="O450" s="7">
        <f t="shared" si="37"/>
        <v>1150</v>
      </c>
    </row>
    <row r="451">
      <c r="A451" s="6">
        <v>2025.0</v>
      </c>
      <c r="B451" s="6" t="s">
        <v>339</v>
      </c>
      <c r="C451" s="1" t="s">
        <v>284</v>
      </c>
      <c r="F451" s="6" t="s">
        <v>206</v>
      </c>
      <c r="H451" s="6" t="s">
        <v>353</v>
      </c>
      <c r="L451" s="6">
        <v>2.0</v>
      </c>
      <c r="M451" s="6">
        <v>4990.0</v>
      </c>
      <c r="O451" s="7">
        <f t="shared" si="37"/>
        <v>9980</v>
      </c>
    </row>
    <row r="452">
      <c r="A452" s="6">
        <v>2025.0</v>
      </c>
      <c r="B452" s="6" t="s">
        <v>339</v>
      </c>
      <c r="C452" s="1" t="s">
        <v>284</v>
      </c>
      <c r="F452" s="6" t="s">
        <v>206</v>
      </c>
      <c r="H452" s="6" t="s">
        <v>360</v>
      </c>
      <c r="L452" s="6">
        <v>3.0</v>
      </c>
      <c r="M452" s="6">
        <v>1990.0</v>
      </c>
      <c r="O452" s="7">
        <f t="shared" si="37"/>
        <v>5970</v>
      </c>
    </row>
    <row r="453">
      <c r="A453" s="6">
        <v>2025.0</v>
      </c>
      <c r="B453" s="6" t="s">
        <v>339</v>
      </c>
      <c r="C453" s="1" t="s">
        <v>284</v>
      </c>
      <c r="F453" s="6" t="s">
        <v>206</v>
      </c>
      <c r="H453" s="6" t="s">
        <v>364</v>
      </c>
      <c r="L453" s="6">
        <v>1.0</v>
      </c>
      <c r="M453" s="6">
        <v>1750.0</v>
      </c>
      <c r="O453" s="7">
        <f t="shared" si="37"/>
        <v>1750</v>
      </c>
    </row>
    <row r="454">
      <c r="A454" s="6">
        <v>2025.0</v>
      </c>
      <c r="B454" s="6" t="s">
        <v>339</v>
      </c>
      <c r="C454" s="1" t="s">
        <v>284</v>
      </c>
      <c r="F454" s="6" t="s">
        <v>206</v>
      </c>
      <c r="H454" s="6" t="s">
        <v>354</v>
      </c>
      <c r="L454" s="6">
        <v>1.0</v>
      </c>
      <c r="M454" s="6">
        <v>4950.0</v>
      </c>
      <c r="O454" s="7">
        <f t="shared" si="37"/>
        <v>4950</v>
      </c>
    </row>
    <row r="455">
      <c r="A455" s="6">
        <v>2025.0</v>
      </c>
      <c r="B455" s="6" t="s">
        <v>339</v>
      </c>
      <c r="C455" s="1" t="s">
        <v>284</v>
      </c>
      <c r="F455" s="6" t="s">
        <v>206</v>
      </c>
      <c r="H455" s="6" t="s">
        <v>352</v>
      </c>
      <c r="L455" s="6">
        <v>1.0</v>
      </c>
      <c r="M455" s="6">
        <v>8700.0</v>
      </c>
      <c r="O455" s="7">
        <f t="shared" si="37"/>
        <v>8700</v>
      </c>
    </row>
    <row r="456">
      <c r="A456" s="24" t="s">
        <v>204</v>
      </c>
      <c r="B456" s="24"/>
      <c r="C456" s="24"/>
      <c r="D456" s="24"/>
      <c r="E456" s="24"/>
      <c r="F456" s="25"/>
      <c r="G456" s="25"/>
      <c r="H456" s="25"/>
      <c r="I456" s="25"/>
      <c r="J456" s="25"/>
      <c r="K456" s="25"/>
      <c r="L456" s="25"/>
      <c r="M456" s="25"/>
      <c r="N456" s="28" t="str">
        <f>CHANGE(O403,O456)</f>
        <v>#NAME?</v>
      </c>
      <c r="O456" s="26">
        <f>SUM(O441:O455)</f>
        <v>73050</v>
      </c>
    </row>
    <row r="457">
      <c r="A457" s="6">
        <v>2025.0</v>
      </c>
      <c r="B457" s="6" t="s">
        <v>177</v>
      </c>
      <c r="C457" s="1" t="s">
        <v>284</v>
      </c>
      <c r="F457" s="6" t="s">
        <v>206</v>
      </c>
      <c r="H457" s="6" t="s">
        <v>370</v>
      </c>
      <c r="L457" s="6">
        <v>1.0</v>
      </c>
      <c r="M457" s="6">
        <v>4550.0</v>
      </c>
      <c r="O457" s="7">
        <f t="shared" ref="O457:O469" si="38">M457*L457</f>
        <v>4550</v>
      </c>
    </row>
    <row r="458">
      <c r="A458" s="6">
        <v>2025.0</v>
      </c>
      <c r="B458" s="6" t="s">
        <v>177</v>
      </c>
      <c r="C458" s="1" t="s">
        <v>284</v>
      </c>
      <c r="F458" s="6" t="s">
        <v>206</v>
      </c>
      <c r="H458" s="6" t="s">
        <v>368</v>
      </c>
      <c r="L458" s="6">
        <v>1.0</v>
      </c>
      <c r="M458" s="6">
        <v>2880.0</v>
      </c>
      <c r="O458" s="7">
        <f t="shared" si="38"/>
        <v>2880</v>
      </c>
    </row>
    <row r="459">
      <c r="A459" s="6">
        <v>2025.0</v>
      </c>
      <c r="B459" s="6" t="s">
        <v>177</v>
      </c>
      <c r="C459" s="1" t="s">
        <v>284</v>
      </c>
      <c r="F459" s="6" t="s">
        <v>206</v>
      </c>
      <c r="H459" s="6" t="s">
        <v>371</v>
      </c>
      <c r="L459" s="6">
        <v>1.0</v>
      </c>
      <c r="M459" s="6">
        <v>2350.0</v>
      </c>
      <c r="O459" s="7">
        <f t="shared" si="38"/>
        <v>2350</v>
      </c>
    </row>
    <row r="460">
      <c r="A460" s="6">
        <v>2025.0</v>
      </c>
      <c r="B460" s="6" t="s">
        <v>177</v>
      </c>
      <c r="C460" s="1" t="s">
        <v>284</v>
      </c>
      <c r="F460" s="6" t="s">
        <v>206</v>
      </c>
      <c r="H460" s="6" t="s">
        <v>366</v>
      </c>
      <c r="L460" s="6">
        <v>1.0</v>
      </c>
      <c r="M460" s="6">
        <v>2450.0</v>
      </c>
      <c r="O460" s="7">
        <f t="shared" si="38"/>
        <v>2450</v>
      </c>
    </row>
    <row r="461">
      <c r="A461" s="6">
        <v>2025.0</v>
      </c>
      <c r="B461" s="6" t="s">
        <v>177</v>
      </c>
      <c r="C461" s="1" t="s">
        <v>284</v>
      </c>
      <c r="F461" s="6" t="s">
        <v>206</v>
      </c>
      <c r="H461" s="6" t="s">
        <v>363</v>
      </c>
      <c r="L461" s="6">
        <v>1.0</v>
      </c>
      <c r="M461" s="6">
        <v>5350.0</v>
      </c>
      <c r="O461" s="7">
        <f t="shared" si="38"/>
        <v>5350</v>
      </c>
    </row>
    <row r="462">
      <c r="A462" s="6">
        <v>2025.0</v>
      </c>
      <c r="B462" s="6" t="s">
        <v>177</v>
      </c>
      <c r="C462" s="1" t="s">
        <v>284</v>
      </c>
      <c r="F462" s="6" t="s">
        <v>206</v>
      </c>
      <c r="H462" s="6" t="s">
        <v>359</v>
      </c>
      <c r="L462" s="6">
        <v>1.0</v>
      </c>
      <c r="M462" s="6">
        <v>4490.0</v>
      </c>
      <c r="O462" s="7">
        <f t="shared" si="38"/>
        <v>4490</v>
      </c>
    </row>
    <row r="463">
      <c r="A463" s="6">
        <v>2025.0</v>
      </c>
      <c r="B463" s="6" t="s">
        <v>177</v>
      </c>
      <c r="C463" s="1" t="s">
        <v>284</v>
      </c>
      <c r="F463" s="6" t="s">
        <v>206</v>
      </c>
      <c r="H463" s="6" t="s">
        <v>348</v>
      </c>
      <c r="L463" s="6">
        <v>1.0</v>
      </c>
      <c r="M463" s="6">
        <v>3790.0</v>
      </c>
      <c r="O463" s="7">
        <f t="shared" si="38"/>
        <v>3790</v>
      </c>
    </row>
    <row r="464">
      <c r="A464" s="6">
        <v>2025.0</v>
      </c>
      <c r="B464" s="6" t="s">
        <v>177</v>
      </c>
      <c r="C464" s="1" t="s">
        <v>284</v>
      </c>
      <c r="F464" s="6" t="s">
        <v>206</v>
      </c>
      <c r="H464" s="6" t="s">
        <v>357</v>
      </c>
      <c r="L464" s="6">
        <v>1.0</v>
      </c>
      <c r="M464" s="6">
        <v>7990.0</v>
      </c>
      <c r="O464" s="7">
        <f t="shared" si="38"/>
        <v>7990</v>
      </c>
    </row>
    <row r="465">
      <c r="A465" s="6">
        <v>2025.0</v>
      </c>
      <c r="B465" s="6" t="s">
        <v>177</v>
      </c>
      <c r="C465" s="1" t="s">
        <v>284</v>
      </c>
      <c r="F465" s="6" t="s">
        <v>206</v>
      </c>
      <c r="H465" s="6" t="s">
        <v>349</v>
      </c>
      <c r="L465" s="6">
        <v>3.0</v>
      </c>
      <c r="M465" s="6">
        <v>1950.0</v>
      </c>
      <c r="O465" s="7">
        <f t="shared" si="38"/>
        <v>5850</v>
      </c>
    </row>
    <row r="466">
      <c r="A466" s="6">
        <v>2025.0</v>
      </c>
      <c r="B466" s="6" t="s">
        <v>177</v>
      </c>
      <c r="C466" s="1" t="s">
        <v>284</v>
      </c>
      <c r="F466" s="6" t="s">
        <v>206</v>
      </c>
      <c r="H466" s="6" t="s">
        <v>353</v>
      </c>
      <c r="L466" s="6">
        <v>2.0</v>
      </c>
      <c r="M466" s="6">
        <v>4990.0</v>
      </c>
      <c r="O466" s="7">
        <f t="shared" si="38"/>
        <v>9980</v>
      </c>
    </row>
    <row r="467">
      <c r="A467" s="6">
        <v>2025.0</v>
      </c>
      <c r="B467" s="6" t="s">
        <v>177</v>
      </c>
      <c r="C467" s="1" t="s">
        <v>284</v>
      </c>
      <c r="F467" s="6" t="s">
        <v>206</v>
      </c>
      <c r="H467" s="6" t="s">
        <v>354</v>
      </c>
      <c r="L467" s="6">
        <v>1.0</v>
      </c>
      <c r="M467" s="6">
        <v>4950.0</v>
      </c>
      <c r="O467" s="7">
        <f t="shared" si="38"/>
        <v>4950</v>
      </c>
    </row>
    <row r="468">
      <c r="A468" s="6">
        <v>2025.0</v>
      </c>
      <c r="B468" s="6" t="s">
        <v>177</v>
      </c>
      <c r="C468" s="1" t="s">
        <v>284</v>
      </c>
      <c r="F468" s="6" t="s">
        <v>206</v>
      </c>
      <c r="H468" s="6" t="s">
        <v>347</v>
      </c>
      <c r="L468" s="6">
        <v>1.0</v>
      </c>
      <c r="M468" s="6">
        <v>1150.0</v>
      </c>
      <c r="O468" s="7">
        <f t="shared" si="38"/>
        <v>1150</v>
      </c>
    </row>
    <row r="469">
      <c r="A469" s="6">
        <v>2025.0</v>
      </c>
      <c r="B469" s="6" t="s">
        <v>177</v>
      </c>
      <c r="C469" s="1" t="s">
        <v>284</v>
      </c>
      <c r="F469" s="6" t="s">
        <v>206</v>
      </c>
      <c r="H469" s="6" t="s">
        <v>358</v>
      </c>
      <c r="L469" s="6">
        <v>1.0</v>
      </c>
      <c r="M469" s="6">
        <v>2200.0</v>
      </c>
      <c r="O469" s="7">
        <f t="shared" si="38"/>
        <v>2200</v>
      </c>
    </row>
    <row r="470">
      <c r="A470" s="24" t="s">
        <v>204</v>
      </c>
      <c r="B470" s="24"/>
      <c r="C470" s="24"/>
      <c r="D470" s="24"/>
      <c r="E470" s="24"/>
      <c r="F470" s="25"/>
      <c r="G470" s="25"/>
      <c r="H470" s="25"/>
      <c r="I470" s="25"/>
      <c r="J470" s="25"/>
      <c r="K470" s="25"/>
      <c r="L470" s="25"/>
      <c r="M470" s="25"/>
      <c r="N470" s="28" t="str">
        <f>CHANGE(O417,O470)</f>
        <v>#NAME?</v>
      </c>
      <c r="O470" s="26">
        <f>SUM(O457:O469)</f>
        <v>57980</v>
      </c>
    </row>
    <row r="471">
      <c r="A471" s="6">
        <v>2025.0</v>
      </c>
      <c r="B471" s="6" t="s">
        <v>178</v>
      </c>
      <c r="C471" s="1" t="s">
        <v>205</v>
      </c>
      <c r="F471" s="6" t="s">
        <v>206</v>
      </c>
      <c r="H471" s="6" t="s">
        <v>357</v>
      </c>
      <c r="L471" s="6">
        <v>1.0</v>
      </c>
      <c r="M471" s="6">
        <v>7990.0</v>
      </c>
      <c r="O471" s="7">
        <f t="shared" ref="O471:O482" si="39">M471*L471</f>
        <v>7990</v>
      </c>
    </row>
    <row r="472">
      <c r="A472" s="6">
        <v>2025.0</v>
      </c>
      <c r="B472" s="6" t="s">
        <v>178</v>
      </c>
      <c r="C472" s="1" t="s">
        <v>205</v>
      </c>
      <c r="F472" s="6" t="s">
        <v>206</v>
      </c>
      <c r="H472" s="6" t="s">
        <v>348</v>
      </c>
      <c r="L472" s="6">
        <v>1.0</v>
      </c>
      <c r="M472" s="6">
        <v>3790.0</v>
      </c>
      <c r="O472" s="7">
        <f t="shared" si="39"/>
        <v>3790</v>
      </c>
    </row>
    <row r="473">
      <c r="A473" s="6">
        <v>2025.0</v>
      </c>
      <c r="B473" s="6" t="s">
        <v>178</v>
      </c>
      <c r="C473" s="1" t="s">
        <v>205</v>
      </c>
      <c r="F473" s="6" t="s">
        <v>206</v>
      </c>
      <c r="H473" s="6" t="s">
        <v>353</v>
      </c>
      <c r="L473" s="6">
        <v>2.0</v>
      </c>
      <c r="M473" s="6">
        <v>4990.0</v>
      </c>
      <c r="O473" s="7">
        <f t="shared" si="39"/>
        <v>9980</v>
      </c>
    </row>
    <row r="474">
      <c r="A474" s="6">
        <v>2025.0</v>
      </c>
      <c r="B474" s="6" t="s">
        <v>178</v>
      </c>
      <c r="C474" s="1" t="s">
        <v>205</v>
      </c>
      <c r="F474" s="6" t="s">
        <v>206</v>
      </c>
      <c r="H474" s="6" t="s">
        <v>372</v>
      </c>
      <c r="L474" s="6">
        <v>1.0</v>
      </c>
      <c r="M474" s="6">
        <v>6990.0</v>
      </c>
      <c r="O474" s="7">
        <f t="shared" si="39"/>
        <v>6990</v>
      </c>
    </row>
    <row r="475">
      <c r="A475" s="6">
        <v>2025.0</v>
      </c>
      <c r="B475" s="6" t="s">
        <v>178</v>
      </c>
      <c r="C475" s="1" t="s">
        <v>205</v>
      </c>
      <c r="F475" s="6" t="s">
        <v>206</v>
      </c>
      <c r="H475" s="6" t="s">
        <v>373</v>
      </c>
      <c r="L475" s="6">
        <v>1.0</v>
      </c>
      <c r="M475" s="6">
        <v>8900.0</v>
      </c>
      <c r="O475" s="7">
        <f t="shared" si="39"/>
        <v>8900</v>
      </c>
    </row>
    <row r="476">
      <c r="A476" s="6">
        <v>2025.0</v>
      </c>
      <c r="B476" s="6" t="s">
        <v>178</v>
      </c>
      <c r="C476" s="1" t="s">
        <v>205</v>
      </c>
      <c r="F476" s="6" t="s">
        <v>206</v>
      </c>
      <c r="H476" s="6" t="s">
        <v>347</v>
      </c>
      <c r="L476" s="6">
        <v>1.0</v>
      </c>
      <c r="M476" s="6">
        <v>1150.0</v>
      </c>
      <c r="O476" s="7">
        <f t="shared" si="39"/>
        <v>1150</v>
      </c>
    </row>
    <row r="477">
      <c r="A477" s="6">
        <v>2025.0</v>
      </c>
      <c r="B477" s="6" t="s">
        <v>178</v>
      </c>
      <c r="C477" s="1" t="s">
        <v>205</v>
      </c>
      <c r="F477" s="6" t="s">
        <v>206</v>
      </c>
      <c r="H477" s="6" t="s">
        <v>361</v>
      </c>
      <c r="L477" s="6">
        <v>1.0</v>
      </c>
      <c r="M477" s="6">
        <v>1150.0</v>
      </c>
      <c r="O477" s="7">
        <f t="shared" si="39"/>
        <v>1150</v>
      </c>
    </row>
    <row r="478">
      <c r="A478" s="6">
        <v>2025.0</v>
      </c>
      <c r="B478" s="6" t="s">
        <v>178</v>
      </c>
      <c r="C478" s="1" t="s">
        <v>205</v>
      </c>
      <c r="F478" s="6" t="s">
        <v>206</v>
      </c>
      <c r="H478" s="6" t="s">
        <v>354</v>
      </c>
      <c r="L478" s="6">
        <v>1.0</v>
      </c>
      <c r="M478" s="6">
        <v>4950.0</v>
      </c>
      <c r="O478" s="7">
        <f t="shared" si="39"/>
        <v>4950</v>
      </c>
    </row>
    <row r="479">
      <c r="A479" s="6">
        <v>2025.0</v>
      </c>
      <c r="B479" s="6" t="s">
        <v>178</v>
      </c>
      <c r="C479" s="1" t="s">
        <v>205</v>
      </c>
      <c r="F479" s="6" t="s">
        <v>206</v>
      </c>
      <c r="H479" s="6" t="s">
        <v>374</v>
      </c>
      <c r="L479" s="6">
        <v>1.0</v>
      </c>
      <c r="M479" s="6">
        <v>1900.0</v>
      </c>
      <c r="O479" s="7">
        <f t="shared" si="39"/>
        <v>1900</v>
      </c>
    </row>
    <row r="480">
      <c r="A480" s="6">
        <v>2025.0</v>
      </c>
      <c r="B480" s="6" t="s">
        <v>178</v>
      </c>
      <c r="C480" s="1" t="s">
        <v>205</v>
      </c>
      <c r="F480" s="6" t="s">
        <v>206</v>
      </c>
      <c r="H480" s="6" t="s">
        <v>375</v>
      </c>
      <c r="L480" s="6">
        <v>1.0</v>
      </c>
      <c r="M480" s="6">
        <v>5100.0</v>
      </c>
      <c r="O480" s="7">
        <f t="shared" si="39"/>
        <v>5100</v>
      </c>
    </row>
    <row r="481">
      <c r="A481" s="6">
        <v>2025.0</v>
      </c>
      <c r="B481" s="6" t="s">
        <v>178</v>
      </c>
      <c r="C481" s="1" t="s">
        <v>205</v>
      </c>
      <c r="F481" s="6" t="s">
        <v>206</v>
      </c>
      <c r="H481" s="6" t="s">
        <v>369</v>
      </c>
      <c r="L481" s="6">
        <v>1.0</v>
      </c>
      <c r="M481" s="6">
        <v>3490.0</v>
      </c>
      <c r="O481" s="7">
        <f t="shared" si="39"/>
        <v>3490</v>
      </c>
    </row>
    <row r="482">
      <c r="A482" s="6">
        <v>2025.0</v>
      </c>
      <c r="B482" s="6" t="s">
        <v>178</v>
      </c>
      <c r="C482" s="1" t="s">
        <v>205</v>
      </c>
      <c r="F482" s="6" t="s">
        <v>206</v>
      </c>
      <c r="H482" s="6" t="s">
        <v>376</v>
      </c>
      <c r="L482" s="6">
        <v>1.0</v>
      </c>
      <c r="M482" s="6">
        <v>2850.0</v>
      </c>
      <c r="O482" s="7">
        <f t="shared" si="39"/>
        <v>2850</v>
      </c>
    </row>
    <row r="483">
      <c r="A483" s="24" t="s">
        <v>204</v>
      </c>
      <c r="B483" s="24"/>
      <c r="C483" s="24"/>
      <c r="D483" s="24"/>
      <c r="E483" s="24"/>
      <c r="F483" s="25"/>
      <c r="G483" s="25"/>
      <c r="H483" s="25"/>
      <c r="I483" s="25"/>
      <c r="J483" s="25"/>
      <c r="K483" s="25"/>
      <c r="L483" s="25"/>
      <c r="M483" s="25"/>
      <c r="N483" s="28" t="str">
        <f>CHANGE(O430,O483)</f>
        <v>#NAME?</v>
      </c>
      <c r="O483" s="26">
        <f>SUM(O471:O482)</f>
        <v>58240</v>
      </c>
    </row>
    <row r="484">
      <c r="A484" s="6">
        <v>2025.0</v>
      </c>
      <c r="B484" s="6" t="s">
        <v>82</v>
      </c>
      <c r="C484" s="1" t="s">
        <v>284</v>
      </c>
      <c r="F484" s="6" t="s">
        <v>213</v>
      </c>
      <c r="H484" s="6" t="s">
        <v>377</v>
      </c>
      <c r="J484" s="3">
        <v>2084.0</v>
      </c>
      <c r="M484" s="6">
        <v>2380.0</v>
      </c>
      <c r="O484" s="7">
        <f t="shared" ref="O484:O498" si="40">M484*J484/1000</f>
        <v>4959.92</v>
      </c>
      <c r="R484" s="3"/>
    </row>
    <row r="485">
      <c r="A485" s="6">
        <v>2025.0</v>
      </c>
      <c r="B485" s="6" t="s">
        <v>82</v>
      </c>
      <c r="C485" s="1" t="s">
        <v>284</v>
      </c>
      <c r="F485" s="6" t="s">
        <v>213</v>
      </c>
      <c r="H485" s="6" t="s">
        <v>378</v>
      </c>
      <c r="J485" s="3">
        <v>2488.0</v>
      </c>
      <c r="M485" s="6">
        <v>1780.0</v>
      </c>
      <c r="O485" s="7">
        <f t="shared" si="40"/>
        <v>4428.64</v>
      </c>
      <c r="R485" s="3"/>
    </row>
    <row r="486">
      <c r="A486" s="6">
        <v>2025.0</v>
      </c>
      <c r="B486" s="6" t="s">
        <v>82</v>
      </c>
      <c r="C486" s="1" t="s">
        <v>284</v>
      </c>
      <c r="F486" s="6" t="s">
        <v>213</v>
      </c>
      <c r="H486" s="6" t="s">
        <v>378</v>
      </c>
      <c r="J486" s="3">
        <v>1128.0</v>
      </c>
      <c r="M486" s="6">
        <v>1780.0</v>
      </c>
      <c r="O486" s="7">
        <f t="shared" si="40"/>
        <v>2007.84</v>
      </c>
      <c r="R486" s="3"/>
    </row>
    <row r="487">
      <c r="A487" s="6">
        <v>2025.0</v>
      </c>
      <c r="B487" s="6" t="s">
        <v>82</v>
      </c>
      <c r="C487" s="1" t="s">
        <v>284</v>
      </c>
      <c r="F487" s="6" t="s">
        <v>213</v>
      </c>
      <c r="H487" s="6" t="s">
        <v>379</v>
      </c>
      <c r="J487" s="3">
        <v>1714.0</v>
      </c>
      <c r="M487" s="6">
        <v>2580.0</v>
      </c>
      <c r="O487" s="7">
        <f t="shared" si="40"/>
        <v>4422.12</v>
      </c>
      <c r="R487" s="3"/>
    </row>
    <row r="488">
      <c r="A488" s="6">
        <v>2025.0</v>
      </c>
      <c r="B488" s="6" t="s">
        <v>82</v>
      </c>
      <c r="C488" s="1" t="s">
        <v>284</v>
      </c>
      <c r="F488" s="6" t="s">
        <v>213</v>
      </c>
      <c r="H488" s="6" t="s">
        <v>380</v>
      </c>
      <c r="J488" s="3">
        <v>534.0</v>
      </c>
      <c r="M488" s="6">
        <v>5900.0</v>
      </c>
      <c r="O488" s="7">
        <f t="shared" si="40"/>
        <v>3150.6</v>
      </c>
      <c r="R488" s="3"/>
    </row>
    <row r="489">
      <c r="A489" s="6">
        <v>2025.0</v>
      </c>
      <c r="B489" s="6" t="s">
        <v>82</v>
      </c>
      <c r="C489" s="1" t="s">
        <v>284</v>
      </c>
      <c r="F489" s="6" t="s">
        <v>213</v>
      </c>
      <c r="H489" s="6" t="s">
        <v>381</v>
      </c>
      <c r="J489" s="3">
        <v>134.0</v>
      </c>
      <c r="M489" s="6">
        <v>12300.0</v>
      </c>
      <c r="O489" s="7">
        <f t="shared" si="40"/>
        <v>1648.2</v>
      </c>
      <c r="R489" s="3"/>
    </row>
    <row r="490">
      <c r="A490" s="6">
        <v>2025.0</v>
      </c>
      <c r="B490" s="6" t="s">
        <v>82</v>
      </c>
      <c r="C490" s="1" t="s">
        <v>284</v>
      </c>
      <c r="F490" s="6" t="s">
        <v>213</v>
      </c>
      <c r="H490" s="6" t="s">
        <v>382</v>
      </c>
      <c r="J490" s="3">
        <v>1794.0</v>
      </c>
      <c r="M490" s="6">
        <v>9000.0</v>
      </c>
      <c r="O490" s="7">
        <f t="shared" si="40"/>
        <v>16146</v>
      </c>
      <c r="R490" s="3"/>
    </row>
    <row r="491">
      <c r="A491" s="6">
        <v>2025.0</v>
      </c>
      <c r="B491" s="6" t="s">
        <v>82</v>
      </c>
      <c r="C491" s="1" t="s">
        <v>284</v>
      </c>
      <c r="F491" s="6" t="s">
        <v>213</v>
      </c>
      <c r="H491" s="6" t="s">
        <v>383</v>
      </c>
      <c r="J491" s="3">
        <v>432.0</v>
      </c>
      <c r="M491" s="6">
        <v>6900.0</v>
      </c>
      <c r="O491" s="7">
        <f t="shared" si="40"/>
        <v>2980.8</v>
      </c>
      <c r="R491" s="3"/>
    </row>
    <row r="492">
      <c r="A492" s="6">
        <v>2025.0</v>
      </c>
      <c r="B492" s="6" t="s">
        <v>82</v>
      </c>
      <c r="C492" s="1" t="s">
        <v>284</v>
      </c>
      <c r="F492" s="6" t="s">
        <v>213</v>
      </c>
      <c r="H492" s="6" t="s">
        <v>384</v>
      </c>
      <c r="J492" s="3">
        <v>892.0</v>
      </c>
      <c r="M492" s="6">
        <v>7100.0</v>
      </c>
      <c r="O492" s="7">
        <f t="shared" si="40"/>
        <v>6333.2</v>
      </c>
      <c r="R492" s="3"/>
    </row>
    <row r="493">
      <c r="A493" s="6">
        <v>2025.0</v>
      </c>
      <c r="B493" s="6" t="s">
        <v>82</v>
      </c>
      <c r="C493" s="1" t="s">
        <v>284</v>
      </c>
      <c r="F493" s="6" t="s">
        <v>213</v>
      </c>
      <c r="H493" s="6" t="s">
        <v>385</v>
      </c>
      <c r="J493" s="3">
        <v>1804.0</v>
      </c>
      <c r="M493" s="6">
        <v>3300.0</v>
      </c>
      <c r="O493" s="7">
        <f t="shared" si="40"/>
        <v>5953.2</v>
      </c>
      <c r="R493" s="3"/>
    </row>
    <row r="494">
      <c r="A494" s="6">
        <v>2025.0</v>
      </c>
      <c r="B494" s="6" t="s">
        <v>82</v>
      </c>
      <c r="C494" s="1" t="s">
        <v>284</v>
      </c>
      <c r="F494" s="6" t="s">
        <v>213</v>
      </c>
      <c r="H494" s="6" t="s">
        <v>386</v>
      </c>
      <c r="J494" s="3">
        <v>3788.0</v>
      </c>
      <c r="M494" s="6">
        <v>4700.0</v>
      </c>
      <c r="O494" s="7">
        <f t="shared" si="40"/>
        <v>17803.6</v>
      </c>
      <c r="R494" s="3"/>
    </row>
    <row r="495">
      <c r="A495" s="6">
        <v>2025.0</v>
      </c>
      <c r="B495" s="6" t="s">
        <v>82</v>
      </c>
      <c r="C495" s="1" t="s">
        <v>284</v>
      </c>
      <c r="F495" s="6" t="s">
        <v>213</v>
      </c>
      <c r="H495" s="6" t="s">
        <v>387</v>
      </c>
      <c r="J495" s="3">
        <v>1176.0</v>
      </c>
      <c r="M495" s="6">
        <v>1980.0</v>
      </c>
      <c r="O495" s="7">
        <f t="shared" si="40"/>
        <v>2328.48</v>
      </c>
      <c r="R495" s="3"/>
    </row>
    <row r="496">
      <c r="A496" s="6">
        <v>2025.0</v>
      </c>
      <c r="B496" s="6" t="s">
        <v>82</v>
      </c>
      <c r="C496" s="1" t="s">
        <v>284</v>
      </c>
      <c r="F496" s="6" t="s">
        <v>213</v>
      </c>
      <c r="H496" s="6" t="s">
        <v>388</v>
      </c>
      <c r="J496" s="3">
        <v>1312.0</v>
      </c>
      <c r="M496" s="6">
        <v>1980.0</v>
      </c>
      <c r="O496" s="7">
        <f t="shared" si="40"/>
        <v>2597.76</v>
      </c>
      <c r="R496" s="3"/>
    </row>
    <row r="497">
      <c r="A497" s="6">
        <v>2025.0</v>
      </c>
      <c r="B497" s="6" t="s">
        <v>82</v>
      </c>
      <c r="C497" s="1" t="s">
        <v>284</v>
      </c>
      <c r="F497" s="6" t="s">
        <v>213</v>
      </c>
      <c r="H497" s="6" t="s">
        <v>389</v>
      </c>
      <c r="J497" s="3">
        <v>634.0</v>
      </c>
      <c r="M497" s="6">
        <v>2380.0</v>
      </c>
      <c r="O497" s="7">
        <f t="shared" si="40"/>
        <v>1508.92</v>
      </c>
      <c r="R497" s="3"/>
    </row>
    <row r="498">
      <c r="A498" s="6">
        <v>2025.0</v>
      </c>
      <c r="B498" s="6" t="s">
        <v>82</v>
      </c>
      <c r="C498" s="1" t="s">
        <v>284</v>
      </c>
      <c r="F498" s="6" t="s">
        <v>213</v>
      </c>
      <c r="H498" s="6" t="s">
        <v>390</v>
      </c>
      <c r="J498" s="3">
        <v>836.0</v>
      </c>
      <c r="M498" s="6">
        <v>5100.0</v>
      </c>
      <c r="O498" s="7">
        <f t="shared" si="40"/>
        <v>4263.6</v>
      </c>
      <c r="R498" s="3"/>
    </row>
    <row r="499">
      <c r="A499" s="6">
        <v>2025.0</v>
      </c>
      <c r="B499" s="6" t="s">
        <v>82</v>
      </c>
      <c r="C499" s="1" t="s">
        <v>284</v>
      </c>
      <c r="F499" s="6" t="s">
        <v>213</v>
      </c>
      <c r="H499" s="6" t="s">
        <v>391</v>
      </c>
      <c r="L499" s="6">
        <v>1.0</v>
      </c>
      <c r="M499" s="6">
        <v>7200.0</v>
      </c>
      <c r="O499" s="7">
        <f t="shared" ref="O499:O506" si="41">M499*L499</f>
        <v>7200</v>
      </c>
    </row>
    <row r="500">
      <c r="A500" s="6">
        <v>2025.0</v>
      </c>
      <c r="B500" s="6" t="s">
        <v>82</v>
      </c>
      <c r="C500" s="1" t="s">
        <v>284</v>
      </c>
      <c r="F500" s="6" t="s">
        <v>213</v>
      </c>
      <c r="H500" s="6" t="s">
        <v>392</v>
      </c>
      <c r="L500" s="6">
        <v>1.0</v>
      </c>
      <c r="M500" s="6">
        <v>1350.0</v>
      </c>
      <c r="O500" s="7">
        <f t="shared" si="41"/>
        <v>1350</v>
      </c>
    </row>
    <row r="501">
      <c r="A501" s="6">
        <v>2025.0</v>
      </c>
      <c r="B501" s="6" t="s">
        <v>82</v>
      </c>
      <c r="C501" s="1" t="s">
        <v>284</v>
      </c>
      <c r="F501" s="6" t="s">
        <v>213</v>
      </c>
      <c r="H501" s="6" t="s">
        <v>393</v>
      </c>
      <c r="L501" s="6">
        <v>1.0</v>
      </c>
      <c r="M501" s="6">
        <v>4990.0</v>
      </c>
      <c r="O501" s="7">
        <f t="shared" si="41"/>
        <v>4990</v>
      </c>
    </row>
    <row r="502">
      <c r="A502" s="6">
        <v>2025.0</v>
      </c>
      <c r="B502" s="6" t="s">
        <v>82</v>
      </c>
      <c r="C502" s="1" t="s">
        <v>284</v>
      </c>
      <c r="F502" s="6" t="s">
        <v>213</v>
      </c>
      <c r="H502" s="6" t="s">
        <v>394</v>
      </c>
      <c r="L502" s="6">
        <v>1.0</v>
      </c>
      <c r="M502" s="6">
        <v>15990.0</v>
      </c>
      <c r="O502" s="7">
        <f t="shared" si="41"/>
        <v>15990</v>
      </c>
    </row>
    <row r="503">
      <c r="A503" s="6">
        <v>2025.0</v>
      </c>
      <c r="B503" s="6" t="s">
        <v>82</v>
      </c>
      <c r="C503" s="1" t="s">
        <v>284</v>
      </c>
      <c r="F503" s="6" t="s">
        <v>213</v>
      </c>
      <c r="H503" s="6" t="s">
        <v>395</v>
      </c>
      <c r="L503" s="6">
        <v>1.0</v>
      </c>
      <c r="M503" s="6">
        <v>3550.0</v>
      </c>
      <c r="O503" s="7">
        <f t="shared" si="41"/>
        <v>3550</v>
      </c>
    </row>
    <row r="504">
      <c r="A504" s="6">
        <v>2025.0</v>
      </c>
      <c r="B504" s="6" t="s">
        <v>82</v>
      </c>
      <c r="C504" s="1" t="s">
        <v>284</v>
      </c>
      <c r="F504" s="6" t="s">
        <v>213</v>
      </c>
      <c r="H504" s="6" t="s">
        <v>396</v>
      </c>
      <c r="L504" s="6">
        <v>1.0</v>
      </c>
      <c r="M504" s="6">
        <v>3990.0</v>
      </c>
      <c r="O504" s="7">
        <f t="shared" si="41"/>
        <v>3990</v>
      </c>
    </row>
    <row r="505">
      <c r="A505" s="6">
        <v>2025.0</v>
      </c>
      <c r="B505" s="6" t="s">
        <v>82</v>
      </c>
      <c r="C505" s="1" t="s">
        <v>284</v>
      </c>
      <c r="F505" s="6" t="s">
        <v>213</v>
      </c>
      <c r="H505" s="6" t="s">
        <v>397</v>
      </c>
      <c r="L505" s="6">
        <v>1.0</v>
      </c>
      <c r="M505" s="6">
        <v>1990.0</v>
      </c>
      <c r="O505" s="7">
        <f t="shared" si="41"/>
        <v>1990</v>
      </c>
    </row>
    <row r="506">
      <c r="A506" s="6">
        <v>2025.0</v>
      </c>
      <c r="B506" s="6" t="s">
        <v>82</v>
      </c>
      <c r="C506" s="1" t="s">
        <v>284</v>
      </c>
      <c r="F506" s="6" t="s">
        <v>213</v>
      </c>
      <c r="H506" s="6" t="s">
        <v>398</v>
      </c>
      <c r="L506" s="6">
        <v>1.0</v>
      </c>
      <c r="M506" s="6">
        <v>12990.0</v>
      </c>
      <c r="O506" s="7">
        <f t="shared" si="41"/>
        <v>12990</v>
      </c>
    </row>
    <row r="507">
      <c r="A507" s="6">
        <v>2025.0</v>
      </c>
      <c r="B507" s="6" t="s">
        <v>82</v>
      </c>
      <c r="C507" s="1" t="s">
        <v>284</v>
      </c>
      <c r="F507" s="6" t="s">
        <v>213</v>
      </c>
      <c r="H507" s="6" t="s">
        <v>399</v>
      </c>
      <c r="J507" s="3">
        <v>1260.0</v>
      </c>
      <c r="M507" s="6">
        <v>14780.0</v>
      </c>
      <c r="O507" s="7">
        <f t="shared" ref="O507:O514" si="42">M507*J507/1000</f>
        <v>18622.8</v>
      </c>
      <c r="R507" s="3"/>
    </row>
    <row r="508">
      <c r="A508" s="6">
        <v>2025.0</v>
      </c>
      <c r="B508" s="6" t="s">
        <v>82</v>
      </c>
      <c r="C508" s="1" t="s">
        <v>284</v>
      </c>
      <c r="F508" s="6" t="s">
        <v>213</v>
      </c>
      <c r="H508" s="6" t="s">
        <v>400</v>
      </c>
      <c r="J508" s="3">
        <v>3065.0</v>
      </c>
      <c r="M508" s="6">
        <v>9400.0</v>
      </c>
      <c r="O508" s="7">
        <f t="shared" si="42"/>
        <v>28811</v>
      </c>
      <c r="R508" s="3"/>
    </row>
    <row r="509">
      <c r="A509" s="6">
        <v>2025.0</v>
      </c>
      <c r="B509" s="6" t="s">
        <v>82</v>
      </c>
      <c r="C509" s="1" t="s">
        <v>284</v>
      </c>
      <c r="F509" s="6" t="s">
        <v>213</v>
      </c>
      <c r="H509" s="6" t="s">
        <v>401</v>
      </c>
      <c r="J509" s="3">
        <v>1034.0</v>
      </c>
      <c r="K509" s="6" t="s">
        <v>402</v>
      </c>
      <c r="M509" s="6">
        <v>19000.0</v>
      </c>
      <c r="O509" s="7">
        <f t="shared" si="42"/>
        <v>19646</v>
      </c>
    </row>
    <row r="510">
      <c r="A510" s="6">
        <v>2025.0</v>
      </c>
      <c r="B510" s="6" t="s">
        <v>82</v>
      </c>
      <c r="C510" s="1" t="s">
        <v>284</v>
      </c>
      <c r="F510" s="6" t="s">
        <v>213</v>
      </c>
      <c r="H510" s="6" t="s">
        <v>403</v>
      </c>
      <c r="J510" s="3">
        <v>1178.0</v>
      </c>
      <c r="K510" s="6" t="s">
        <v>402</v>
      </c>
      <c r="M510" s="6">
        <v>18580.0</v>
      </c>
      <c r="O510" s="7">
        <f t="shared" si="42"/>
        <v>21887.24</v>
      </c>
    </row>
    <row r="511">
      <c r="A511" s="6">
        <v>2025.0</v>
      </c>
      <c r="B511" s="6" t="s">
        <v>82</v>
      </c>
      <c r="C511" s="1" t="s">
        <v>284</v>
      </c>
      <c r="F511" s="6" t="s">
        <v>213</v>
      </c>
      <c r="H511" s="6" t="s">
        <v>401</v>
      </c>
      <c r="J511" s="3">
        <v>740.0</v>
      </c>
      <c r="M511" s="6">
        <v>19000.0</v>
      </c>
      <c r="O511" s="7">
        <f t="shared" si="42"/>
        <v>14060</v>
      </c>
      <c r="R511" s="3"/>
    </row>
    <row r="512">
      <c r="A512" s="6">
        <v>2025.0</v>
      </c>
      <c r="B512" s="6" t="s">
        <v>82</v>
      </c>
      <c r="C512" s="1" t="s">
        <v>284</v>
      </c>
      <c r="F512" s="6" t="s">
        <v>213</v>
      </c>
      <c r="H512" s="6" t="s">
        <v>404</v>
      </c>
      <c r="J512" s="3">
        <v>1146.0</v>
      </c>
      <c r="M512" s="6">
        <v>19000.0</v>
      </c>
      <c r="O512" s="7">
        <f t="shared" si="42"/>
        <v>21774</v>
      </c>
      <c r="R512" s="3"/>
    </row>
    <row r="513">
      <c r="A513" s="6">
        <v>2025.0</v>
      </c>
      <c r="B513" s="6" t="s">
        <v>82</v>
      </c>
      <c r="C513" s="1" t="s">
        <v>284</v>
      </c>
      <c r="F513" s="6" t="s">
        <v>213</v>
      </c>
      <c r="H513" s="6" t="s">
        <v>405</v>
      </c>
      <c r="J513" s="3">
        <v>1044.0</v>
      </c>
      <c r="M513" s="6">
        <v>31980.0</v>
      </c>
      <c r="O513" s="7">
        <f t="shared" si="42"/>
        <v>33387.12</v>
      </c>
      <c r="R513" s="3"/>
    </row>
    <row r="514">
      <c r="A514" s="6">
        <v>2025.0</v>
      </c>
      <c r="B514" s="6" t="s">
        <v>82</v>
      </c>
      <c r="C514" s="1" t="s">
        <v>284</v>
      </c>
      <c r="F514" s="6" t="s">
        <v>213</v>
      </c>
      <c r="H514" s="6" t="s">
        <v>406</v>
      </c>
      <c r="J514" s="3">
        <v>1026.0</v>
      </c>
      <c r="M514" s="6">
        <v>26380.0</v>
      </c>
      <c r="O514" s="7">
        <f t="shared" si="42"/>
        <v>27065.88</v>
      </c>
      <c r="R514" s="3"/>
    </row>
    <row r="515">
      <c r="A515" s="24" t="s">
        <v>204</v>
      </c>
      <c r="B515" s="24"/>
      <c r="C515" s="24"/>
      <c r="D515" s="24"/>
      <c r="E515" s="24"/>
      <c r="F515" s="25"/>
      <c r="G515" s="25"/>
      <c r="H515" s="25"/>
      <c r="I515" s="25"/>
      <c r="J515" s="25"/>
      <c r="K515" s="25"/>
      <c r="L515" s="25"/>
      <c r="M515" s="25"/>
      <c r="N515" s="28" t="str">
        <f>CHANGE(O462,O515)</f>
        <v>#NAME?</v>
      </c>
      <c r="O515" s="26">
        <f>SUM(O484:O514)</f>
        <v>317836.92</v>
      </c>
      <c r="Q515" s="6" t="s">
        <v>407</v>
      </c>
      <c r="R515" s="6" t="s">
        <v>407</v>
      </c>
      <c r="S515" s="6"/>
      <c r="T515" s="6"/>
      <c r="U515" s="6" t="s">
        <v>407</v>
      </c>
    </row>
    <row r="516">
      <c r="A516" s="6">
        <v>2025.0</v>
      </c>
      <c r="B516" s="6" t="s">
        <v>124</v>
      </c>
      <c r="C516" s="1" t="s">
        <v>205</v>
      </c>
      <c r="F516" s="6" t="s">
        <v>213</v>
      </c>
      <c r="H516" s="6" t="s">
        <v>408</v>
      </c>
      <c r="L516" s="6">
        <v>1.0</v>
      </c>
      <c r="M516" s="6">
        <v>27600.0</v>
      </c>
      <c r="O516" s="7">
        <f>M516*L516</f>
        <v>27600</v>
      </c>
    </row>
    <row r="517">
      <c r="A517" s="6">
        <v>2025.0</v>
      </c>
      <c r="B517" s="6" t="s">
        <v>124</v>
      </c>
      <c r="C517" s="1" t="s">
        <v>205</v>
      </c>
      <c r="F517" s="6" t="s">
        <v>213</v>
      </c>
      <c r="H517" s="6" t="s">
        <v>380</v>
      </c>
      <c r="J517" s="3">
        <v>700.0</v>
      </c>
      <c r="M517" s="6">
        <v>7200.0</v>
      </c>
      <c r="O517" s="7">
        <f t="shared" ref="O517:O528" si="43">M517*J517/1000</f>
        <v>5040</v>
      </c>
      <c r="S517" s="3"/>
    </row>
    <row r="518">
      <c r="A518" s="6">
        <v>2025.0</v>
      </c>
      <c r="B518" s="6" t="s">
        <v>124</v>
      </c>
      <c r="C518" s="1" t="s">
        <v>205</v>
      </c>
      <c r="F518" s="6" t="s">
        <v>213</v>
      </c>
      <c r="H518" s="6" t="s">
        <v>390</v>
      </c>
      <c r="J518" s="3">
        <v>570.0</v>
      </c>
      <c r="M518" s="6">
        <v>3700.0</v>
      </c>
      <c r="O518" s="7">
        <f t="shared" si="43"/>
        <v>2109</v>
      </c>
      <c r="S518" s="3"/>
    </row>
    <row r="519">
      <c r="A519" s="6">
        <v>2025.0</v>
      </c>
      <c r="B519" s="6" t="s">
        <v>124</v>
      </c>
      <c r="C519" s="1" t="s">
        <v>205</v>
      </c>
      <c r="F519" s="6" t="s">
        <v>213</v>
      </c>
      <c r="H519" s="6" t="s">
        <v>405</v>
      </c>
      <c r="J519" s="3">
        <v>1198.0</v>
      </c>
      <c r="M519" s="6">
        <v>31980.0</v>
      </c>
      <c r="O519" s="7">
        <f t="shared" si="43"/>
        <v>38312.04</v>
      </c>
      <c r="S519" s="3"/>
    </row>
    <row r="520">
      <c r="A520" s="6">
        <v>2025.0</v>
      </c>
      <c r="B520" s="6" t="s">
        <v>124</v>
      </c>
      <c r="C520" s="1" t="s">
        <v>205</v>
      </c>
      <c r="F520" s="6" t="s">
        <v>213</v>
      </c>
      <c r="H520" s="6" t="s">
        <v>406</v>
      </c>
      <c r="J520" s="3">
        <v>1304.0</v>
      </c>
      <c r="M520" s="6">
        <v>26380.0</v>
      </c>
      <c r="O520" s="7">
        <f t="shared" si="43"/>
        <v>34399.52</v>
      </c>
      <c r="S520" s="3"/>
    </row>
    <row r="521">
      <c r="A521" s="6">
        <v>2025.0</v>
      </c>
      <c r="B521" s="6" t="s">
        <v>124</v>
      </c>
      <c r="C521" s="1" t="s">
        <v>205</v>
      </c>
      <c r="F521" s="6" t="s">
        <v>213</v>
      </c>
      <c r="H521" s="6" t="s">
        <v>388</v>
      </c>
      <c r="J521" s="3">
        <v>1730.0</v>
      </c>
      <c r="M521" s="6">
        <v>1980.0</v>
      </c>
      <c r="O521" s="7">
        <f t="shared" si="43"/>
        <v>3425.4</v>
      </c>
      <c r="S521" s="3"/>
    </row>
    <row r="522">
      <c r="A522" s="6">
        <v>2025.0</v>
      </c>
      <c r="B522" s="6" t="s">
        <v>124</v>
      </c>
      <c r="C522" s="1" t="s">
        <v>205</v>
      </c>
      <c r="F522" s="6" t="s">
        <v>213</v>
      </c>
      <c r="H522" s="6" t="s">
        <v>387</v>
      </c>
      <c r="J522" s="3">
        <v>1045.0</v>
      </c>
      <c r="M522" s="6">
        <v>1580.0</v>
      </c>
      <c r="O522" s="7">
        <f t="shared" si="43"/>
        <v>1651.1</v>
      </c>
      <c r="S522" s="3"/>
    </row>
    <row r="523">
      <c r="A523" s="6">
        <v>2025.0</v>
      </c>
      <c r="B523" s="6" t="s">
        <v>124</v>
      </c>
      <c r="C523" s="1" t="s">
        <v>205</v>
      </c>
      <c r="F523" s="6" t="s">
        <v>213</v>
      </c>
      <c r="H523" s="6" t="s">
        <v>388</v>
      </c>
      <c r="J523" s="3">
        <v>925.0</v>
      </c>
      <c r="M523" s="6">
        <v>1980.0</v>
      </c>
      <c r="O523" s="7">
        <f t="shared" si="43"/>
        <v>1831.5</v>
      </c>
      <c r="S523" s="3"/>
    </row>
    <row r="524">
      <c r="A524" s="6">
        <v>2025.0</v>
      </c>
      <c r="B524" s="6" t="s">
        <v>124</v>
      </c>
      <c r="C524" s="1" t="s">
        <v>205</v>
      </c>
      <c r="F524" s="6" t="s">
        <v>213</v>
      </c>
      <c r="H524" s="6" t="s">
        <v>384</v>
      </c>
      <c r="J524" s="3">
        <v>355.0</v>
      </c>
      <c r="M524" s="6">
        <v>7800.0</v>
      </c>
      <c r="O524" s="7">
        <f t="shared" si="43"/>
        <v>2769</v>
      </c>
      <c r="S524" s="3"/>
    </row>
    <row r="525">
      <c r="A525" s="6">
        <v>2025.0</v>
      </c>
      <c r="B525" s="6" t="s">
        <v>124</v>
      </c>
      <c r="C525" s="1" t="s">
        <v>205</v>
      </c>
      <c r="F525" s="6" t="s">
        <v>213</v>
      </c>
      <c r="H525" s="6" t="s">
        <v>382</v>
      </c>
      <c r="J525" s="3">
        <v>1320.0</v>
      </c>
      <c r="M525" s="6">
        <v>9000.0</v>
      </c>
      <c r="O525" s="7">
        <f t="shared" si="43"/>
        <v>11880</v>
      </c>
      <c r="S525" s="3"/>
    </row>
    <row r="526">
      <c r="A526" s="6">
        <v>2025.0</v>
      </c>
      <c r="B526" s="6" t="s">
        <v>124</v>
      </c>
      <c r="C526" s="1" t="s">
        <v>205</v>
      </c>
      <c r="F526" s="6" t="s">
        <v>213</v>
      </c>
      <c r="H526" s="6" t="s">
        <v>409</v>
      </c>
      <c r="J526" s="3">
        <v>1120.0</v>
      </c>
      <c r="M526" s="6">
        <v>2780.0</v>
      </c>
      <c r="O526" s="7">
        <f t="shared" si="43"/>
        <v>3113.6</v>
      </c>
      <c r="S526" s="3"/>
    </row>
    <row r="527">
      <c r="A527" s="6">
        <v>2025.0</v>
      </c>
      <c r="B527" s="6" t="s">
        <v>124</v>
      </c>
      <c r="C527" s="1" t="s">
        <v>205</v>
      </c>
      <c r="F527" s="6" t="s">
        <v>213</v>
      </c>
      <c r="H527" s="6" t="s">
        <v>390</v>
      </c>
      <c r="J527" s="3">
        <v>410.0</v>
      </c>
      <c r="M527" s="6">
        <v>3700.0</v>
      </c>
      <c r="O527" s="7">
        <f t="shared" si="43"/>
        <v>1517</v>
      </c>
      <c r="S527" s="3"/>
    </row>
    <row r="528">
      <c r="A528" s="6">
        <v>2025.0</v>
      </c>
      <c r="B528" s="6" t="s">
        <v>124</v>
      </c>
      <c r="C528" s="1" t="s">
        <v>205</v>
      </c>
      <c r="F528" s="6" t="s">
        <v>213</v>
      </c>
      <c r="H528" s="6" t="s">
        <v>387</v>
      </c>
      <c r="J528" s="3">
        <v>1160.0</v>
      </c>
      <c r="M528" s="6">
        <v>1580.0</v>
      </c>
      <c r="O528" s="7">
        <f t="shared" si="43"/>
        <v>1832.8</v>
      </c>
      <c r="S528" s="3"/>
    </row>
    <row r="529">
      <c r="A529" s="6">
        <v>2025.0</v>
      </c>
      <c r="B529" s="6" t="s">
        <v>124</v>
      </c>
      <c r="C529" s="1" t="s">
        <v>205</v>
      </c>
      <c r="F529" s="6" t="s">
        <v>213</v>
      </c>
      <c r="H529" s="6" t="s">
        <v>410</v>
      </c>
      <c r="L529" s="6">
        <v>1.0</v>
      </c>
      <c r="M529" s="6">
        <v>3590.0</v>
      </c>
      <c r="O529" s="7">
        <f t="shared" ref="O529:O531" si="44">M529*L529</f>
        <v>3590</v>
      </c>
    </row>
    <row r="530">
      <c r="A530" s="6">
        <v>2025.0</v>
      </c>
      <c r="B530" s="6" t="s">
        <v>124</v>
      </c>
      <c r="C530" s="1" t="s">
        <v>205</v>
      </c>
      <c r="F530" s="6" t="s">
        <v>213</v>
      </c>
      <c r="H530" s="6" t="s">
        <v>396</v>
      </c>
      <c r="L530" s="6">
        <v>1.0</v>
      </c>
      <c r="M530" s="6">
        <v>4150.0</v>
      </c>
      <c r="O530" s="7">
        <f t="shared" si="44"/>
        <v>4150</v>
      </c>
    </row>
    <row r="531">
      <c r="A531" s="6">
        <v>2025.0</v>
      </c>
      <c r="B531" s="6" t="s">
        <v>124</v>
      </c>
      <c r="C531" s="1" t="s">
        <v>205</v>
      </c>
      <c r="F531" s="6" t="s">
        <v>213</v>
      </c>
      <c r="H531" s="6" t="s">
        <v>411</v>
      </c>
      <c r="L531" s="6">
        <v>1.0</v>
      </c>
      <c r="M531" s="6">
        <v>3190.0</v>
      </c>
      <c r="O531" s="7">
        <f t="shared" si="44"/>
        <v>3190</v>
      </c>
    </row>
    <row r="532">
      <c r="A532" s="6">
        <v>2025.0</v>
      </c>
      <c r="B532" s="6" t="s">
        <v>124</v>
      </c>
      <c r="C532" s="1" t="s">
        <v>205</v>
      </c>
      <c r="F532" s="6" t="s">
        <v>213</v>
      </c>
      <c r="H532" s="6" t="s">
        <v>384</v>
      </c>
      <c r="J532" s="3">
        <v>375.0</v>
      </c>
      <c r="M532" s="6">
        <v>7800.0</v>
      </c>
      <c r="O532" s="7">
        <f>M532*J532/1000</f>
        <v>2925</v>
      </c>
      <c r="S532" s="3"/>
    </row>
    <row r="533">
      <c r="A533" s="6">
        <v>2025.0</v>
      </c>
      <c r="B533" s="6" t="s">
        <v>124</v>
      </c>
      <c r="C533" s="1" t="s">
        <v>205</v>
      </c>
      <c r="F533" s="6" t="s">
        <v>213</v>
      </c>
      <c r="H533" s="6" t="s">
        <v>398</v>
      </c>
      <c r="L533" s="6">
        <v>1.0</v>
      </c>
      <c r="M533" s="6">
        <v>18990.0</v>
      </c>
      <c r="O533" s="7">
        <f t="shared" ref="O533:O534" si="45">M533*L533</f>
        <v>18990</v>
      </c>
    </row>
    <row r="534">
      <c r="A534" s="6">
        <v>2025.0</v>
      </c>
      <c r="B534" s="6" t="s">
        <v>124</v>
      </c>
      <c r="C534" s="1" t="s">
        <v>205</v>
      </c>
      <c r="F534" s="6" t="s">
        <v>213</v>
      </c>
      <c r="H534" s="6" t="s">
        <v>391</v>
      </c>
      <c r="L534" s="6">
        <v>1.0</v>
      </c>
      <c r="M534" s="6">
        <v>7200.0</v>
      </c>
      <c r="O534" s="7">
        <f t="shared" si="45"/>
        <v>7200</v>
      </c>
    </row>
    <row r="535">
      <c r="A535" s="6">
        <v>2025.0</v>
      </c>
      <c r="B535" s="6" t="s">
        <v>124</v>
      </c>
      <c r="C535" s="1" t="s">
        <v>205</v>
      </c>
      <c r="F535" s="6" t="s">
        <v>213</v>
      </c>
      <c r="H535" s="6" t="s">
        <v>412</v>
      </c>
      <c r="J535" s="3">
        <v>2340.0</v>
      </c>
      <c r="M535" s="6">
        <v>1980.0</v>
      </c>
      <c r="O535" s="7">
        <f t="shared" ref="O535:O550" si="46">M535*J535/1000</f>
        <v>4633.2</v>
      </c>
      <c r="S535" s="3"/>
    </row>
    <row r="536">
      <c r="A536" s="6">
        <v>2025.0</v>
      </c>
      <c r="B536" s="6" t="s">
        <v>124</v>
      </c>
      <c r="C536" s="1" t="s">
        <v>205</v>
      </c>
      <c r="F536" s="6" t="s">
        <v>213</v>
      </c>
      <c r="H536" s="6" t="s">
        <v>413</v>
      </c>
      <c r="J536" s="3">
        <v>725.0</v>
      </c>
      <c r="M536" s="6">
        <v>3100.0</v>
      </c>
      <c r="O536" s="7">
        <f t="shared" si="46"/>
        <v>2247.5</v>
      </c>
      <c r="S536" s="3"/>
    </row>
    <row r="537">
      <c r="A537" s="6">
        <v>2025.0</v>
      </c>
      <c r="B537" s="6" t="s">
        <v>124</v>
      </c>
      <c r="C537" s="1" t="s">
        <v>205</v>
      </c>
      <c r="F537" s="6" t="s">
        <v>213</v>
      </c>
      <c r="H537" s="6" t="s">
        <v>385</v>
      </c>
      <c r="J537" s="3">
        <v>1270.0</v>
      </c>
      <c r="M537" s="6">
        <v>3580.0</v>
      </c>
      <c r="O537" s="7">
        <f t="shared" si="46"/>
        <v>4546.6</v>
      </c>
      <c r="S537" s="3"/>
    </row>
    <row r="538">
      <c r="A538" s="6">
        <v>2025.0</v>
      </c>
      <c r="B538" s="6" t="s">
        <v>124</v>
      </c>
      <c r="C538" s="1" t="s">
        <v>205</v>
      </c>
      <c r="F538" s="6" t="s">
        <v>213</v>
      </c>
      <c r="H538" s="6" t="s">
        <v>401</v>
      </c>
      <c r="J538" s="3">
        <v>880.0</v>
      </c>
      <c r="M538" s="6">
        <v>17800.0</v>
      </c>
      <c r="O538" s="7">
        <f t="shared" si="46"/>
        <v>15664</v>
      </c>
      <c r="S538" s="3"/>
    </row>
    <row r="539">
      <c r="A539" s="6">
        <v>2025.0</v>
      </c>
      <c r="B539" s="6" t="s">
        <v>124</v>
      </c>
      <c r="C539" s="1" t="s">
        <v>205</v>
      </c>
      <c r="F539" s="6" t="s">
        <v>213</v>
      </c>
      <c r="H539" s="6" t="s">
        <v>404</v>
      </c>
      <c r="J539" s="3">
        <v>1102.0</v>
      </c>
      <c r="M539" s="6">
        <v>17400.0</v>
      </c>
      <c r="O539" s="7">
        <f t="shared" si="46"/>
        <v>19174.8</v>
      </c>
    </row>
    <row r="540">
      <c r="A540" s="6">
        <v>2025.0</v>
      </c>
      <c r="B540" s="6" t="s">
        <v>124</v>
      </c>
      <c r="C540" s="1" t="s">
        <v>205</v>
      </c>
      <c r="F540" s="6" t="s">
        <v>213</v>
      </c>
      <c r="H540" s="6" t="s">
        <v>406</v>
      </c>
      <c r="J540" s="3">
        <v>1070.0</v>
      </c>
      <c r="M540" s="6">
        <v>26380.0</v>
      </c>
      <c r="O540" s="7">
        <f t="shared" si="46"/>
        <v>28226.6</v>
      </c>
    </row>
    <row r="541">
      <c r="A541" s="6">
        <v>2025.0</v>
      </c>
      <c r="B541" s="6" t="s">
        <v>124</v>
      </c>
      <c r="C541" s="1" t="s">
        <v>205</v>
      </c>
      <c r="F541" s="6" t="s">
        <v>213</v>
      </c>
      <c r="H541" s="6" t="s">
        <v>414</v>
      </c>
      <c r="J541" s="6">
        <v>818.0</v>
      </c>
      <c r="M541" s="6">
        <v>25980.0</v>
      </c>
      <c r="O541" s="7">
        <f t="shared" si="46"/>
        <v>21251.64</v>
      </c>
    </row>
    <row r="542">
      <c r="A542" s="6">
        <v>2025.0</v>
      </c>
      <c r="B542" s="6" t="s">
        <v>124</v>
      </c>
      <c r="C542" s="1" t="s">
        <v>205</v>
      </c>
      <c r="F542" s="6" t="s">
        <v>213</v>
      </c>
      <c r="H542" s="6" t="s">
        <v>400</v>
      </c>
      <c r="J542" s="3">
        <v>3125.0</v>
      </c>
      <c r="M542" s="6">
        <v>7980.0</v>
      </c>
      <c r="O542" s="7">
        <f t="shared" si="46"/>
        <v>24937.5</v>
      </c>
      <c r="S542" s="3"/>
    </row>
    <row r="543">
      <c r="A543" s="6">
        <v>2025.0</v>
      </c>
      <c r="B543" s="6" t="s">
        <v>124</v>
      </c>
      <c r="C543" s="1" t="s">
        <v>205</v>
      </c>
      <c r="F543" s="6" t="s">
        <v>213</v>
      </c>
      <c r="H543" s="6" t="s">
        <v>378</v>
      </c>
      <c r="J543" s="3">
        <v>2220.0</v>
      </c>
      <c r="M543" s="6">
        <v>1980.0</v>
      </c>
      <c r="O543" s="7">
        <f t="shared" si="46"/>
        <v>4395.6</v>
      </c>
      <c r="S543" s="3"/>
    </row>
    <row r="544">
      <c r="A544" s="6">
        <v>2025.0</v>
      </c>
      <c r="B544" s="6" t="s">
        <v>124</v>
      </c>
      <c r="C544" s="1" t="s">
        <v>205</v>
      </c>
      <c r="F544" s="6" t="s">
        <v>213</v>
      </c>
      <c r="H544" s="6" t="s">
        <v>378</v>
      </c>
      <c r="J544" s="3">
        <v>895.0</v>
      </c>
      <c r="M544" s="6">
        <v>1980.0</v>
      </c>
      <c r="O544" s="7">
        <f t="shared" si="46"/>
        <v>1772.1</v>
      </c>
      <c r="S544" s="3"/>
    </row>
    <row r="545">
      <c r="A545" s="6">
        <v>2025.0</v>
      </c>
      <c r="B545" s="6" t="s">
        <v>124</v>
      </c>
      <c r="C545" s="1" t="s">
        <v>205</v>
      </c>
      <c r="F545" s="6" t="s">
        <v>213</v>
      </c>
      <c r="H545" s="6" t="s">
        <v>386</v>
      </c>
      <c r="J545" s="3">
        <v>700.0</v>
      </c>
      <c r="M545" s="6">
        <v>5000.0</v>
      </c>
      <c r="O545" s="7">
        <f t="shared" si="46"/>
        <v>3500</v>
      </c>
      <c r="S545" s="3"/>
    </row>
    <row r="546">
      <c r="A546" s="6">
        <v>2025.0</v>
      </c>
      <c r="B546" s="6" t="s">
        <v>124</v>
      </c>
      <c r="C546" s="1" t="s">
        <v>205</v>
      </c>
      <c r="F546" s="6" t="s">
        <v>213</v>
      </c>
      <c r="H546" s="6" t="s">
        <v>377</v>
      </c>
      <c r="J546" s="3">
        <v>990.0</v>
      </c>
      <c r="M546" s="6">
        <v>1980.0</v>
      </c>
      <c r="O546" s="7">
        <f t="shared" si="46"/>
        <v>1960.2</v>
      </c>
      <c r="S546" s="3"/>
    </row>
    <row r="547">
      <c r="A547" s="6">
        <v>2025.0</v>
      </c>
      <c r="B547" s="6" t="s">
        <v>124</v>
      </c>
      <c r="C547" s="1" t="s">
        <v>205</v>
      </c>
      <c r="F547" s="6" t="s">
        <v>213</v>
      </c>
      <c r="H547" s="6" t="s">
        <v>415</v>
      </c>
      <c r="J547" s="3">
        <v>2310.0</v>
      </c>
      <c r="M547" s="6">
        <v>3300.0</v>
      </c>
      <c r="O547" s="7">
        <f t="shared" si="46"/>
        <v>7623</v>
      </c>
      <c r="S547" s="3"/>
    </row>
    <row r="548">
      <c r="A548" s="6">
        <v>2025.0</v>
      </c>
      <c r="B548" s="6" t="s">
        <v>124</v>
      </c>
      <c r="C548" s="1" t="s">
        <v>205</v>
      </c>
      <c r="F548" s="6" t="s">
        <v>213</v>
      </c>
      <c r="H548" s="6" t="s">
        <v>386</v>
      </c>
      <c r="J548" s="3">
        <v>1690.0</v>
      </c>
      <c r="M548" s="6">
        <v>5000.0</v>
      </c>
      <c r="O548" s="7">
        <f t="shared" si="46"/>
        <v>8450</v>
      </c>
      <c r="S548" s="3"/>
    </row>
    <row r="549">
      <c r="A549" s="6">
        <v>2025.0</v>
      </c>
      <c r="B549" s="6" t="s">
        <v>124</v>
      </c>
      <c r="C549" s="1" t="s">
        <v>205</v>
      </c>
      <c r="F549" s="6" t="s">
        <v>213</v>
      </c>
      <c r="H549" s="6" t="s">
        <v>384</v>
      </c>
      <c r="J549" s="3">
        <v>315.0</v>
      </c>
      <c r="M549" s="6">
        <v>7800.0</v>
      </c>
      <c r="O549" s="7">
        <f t="shared" si="46"/>
        <v>2457</v>
      </c>
      <c r="S549" s="3"/>
    </row>
    <row r="550">
      <c r="A550" s="6">
        <v>2025.0</v>
      </c>
      <c r="B550" s="6" t="s">
        <v>124</v>
      </c>
      <c r="C550" s="1" t="s">
        <v>205</v>
      </c>
      <c r="F550" s="6" t="s">
        <v>213</v>
      </c>
      <c r="H550" s="6" t="s">
        <v>416</v>
      </c>
      <c r="J550" s="3">
        <v>470.0</v>
      </c>
      <c r="M550" s="6">
        <v>3980.0</v>
      </c>
      <c r="O550" s="7">
        <f t="shared" si="46"/>
        <v>1870.6</v>
      </c>
      <c r="S550" s="3"/>
    </row>
    <row r="551">
      <c r="A551" s="6">
        <v>2025.0</v>
      </c>
      <c r="B551" s="6" t="s">
        <v>124</v>
      </c>
      <c r="C551" s="1" t="s">
        <v>205</v>
      </c>
      <c r="F551" s="6" t="s">
        <v>213</v>
      </c>
      <c r="H551" s="6" t="s">
        <v>394</v>
      </c>
      <c r="L551" s="6">
        <v>1.0</v>
      </c>
      <c r="M551" s="6">
        <v>15990.0</v>
      </c>
      <c r="O551" s="7">
        <f t="shared" ref="O551:O552" si="47">M551*L551</f>
        <v>15990</v>
      </c>
    </row>
    <row r="552">
      <c r="A552" s="6">
        <v>2025.0</v>
      </c>
      <c r="B552" s="6" t="s">
        <v>124</v>
      </c>
      <c r="C552" s="1" t="s">
        <v>205</v>
      </c>
      <c r="F552" s="6" t="s">
        <v>213</v>
      </c>
      <c r="H552" s="6" t="s">
        <v>417</v>
      </c>
      <c r="L552" s="6">
        <v>1.0</v>
      </c>
      <c r="M552" s="6">
        <v>8850.0</v>
      </c>
      <c r="O552" s="7">
        <f t="shared" si="47"/>
        <v>8850</v>
      </c>
    </row>
    <row r="553">
      <c r="A553" s="24" t="s">
        <v>204</v>
      </c>
      <c r="B553" s="24"/>
      <c r="C553" s="24"/>
      <c r="D553" s="24"/>
      <c r="E553" s="24"/>
      <c r="F553" s="25"/>
      <c r="G553" s="25"/>
      <c r="H553" s="25"/>
      <c r="I553" s="25"/>
      <c r="J553" s="25"/>
      <c r="K553" s="25"/>
      <c r="L553" s="25"/>
      <c r="M553" s="25"/>
      <c r="N553" s="28" t="str">
        <f>CHANGE(O500,O553)</f>
        <v>#NAME?</v>
      </c>
      <c r="O553" s="26">
        <f>SUM(O516:O552)</f>
        <v>353076.3</v>
      </c>
    </row>
    <row r="554">
      <c r="A554" s="6">
        <v>2025.0</v>
      </c>
      <c r="B554" s="6" t="s">
        <v>124</v>
      </c>
      <c r="C554" s="1" t="s">
        <v>284</v>
      </c>
      <c r="F554" s="6" t="s">
        <v>213</v>
      </c>
      <c r="H554" s="6" t="s">
        <v>414</v>
      </c>
      <c r="J554" s="3">
        <v>986.0</v>
      </c>
      <c r="M554" s="6">
        <v>26380.0</v>
      </c>
      <c r="O554" s="7">
        <f t="shared" ref="O554:O560" si="48">M554*J554/1000</f>
        <v>26010.68</v>
      </c>
      <c r="S554" s="3"/>
    </row>
    <row r="555">
      <c r="A555" s="6">
        <v>2025.0</v>
      </c>
      <c r="B555" s="6" t="s">
        <v>124</v>
      </c>
      <c r="C555" s="1" t="s">
        <v>284</v>
      </c>
      <c r="F555" s="6" t="s">
        <v>213</v>
      </c>
      <c r="H555" s="6" t="s">
        <v>418</v>
      </c>
      <c r="J555" s="3">
        <v>1098.0</v>
      </c>
      <c r="M555" s="6">
        <v>8580.0</v>
      </c>
      <c r="O555" s="7">
        <f t="shared" si="48"/>
        <v>9420.84</v>
      </c>
      <c r="S555" s="3"/>
    </row>
    <row r="556">
      <c r="A556" s="6">
        <v>2025.0</v>
      </c>
      <c r="B556" s="6" t="s">
        <v>124</v>
      </c>
      <c r="C556" s="1" t="s">
        <v>284</v>
      </c>
      <c r="F556" s="6" t="s">
        <v>213</v>
      </c>
      <c r="H556" s="6" t="s">
        <v>419</v>
      </c>
      <c r="J556" s="3">
        <v>768.0</v>
      </c>
      <c r="M556" s="6">
        <v>17800.0</v>
      </c>
      <c r="O556" s="7">
        <f t="shared" si="48"/>
        <v>13670.4</v>
      </c>
      <c r="S556" s="3"/>
    </row>
    <row r="557">
      <c r="A557" s="6">
        <v>2025.0</v>
      </c>
      <c r="B557" s="6" t="s">
        <v>124</v>
      </c>
      <c r="C557" s="1" t="s">
        <v>284</v>
      </c>
      <c r="F557" s="6" t="s">
        <v>213</v>
      </c>
      <c r="H557" s="6" t="s">
        <v>420</v>
      </c>
      <c r="J557" s="3">
        <v>742.0</v>
      </c>
      <c r="M557" s="6">
        <v>26380.0</v>
      </c>
      <c r="O557" s="7">
        <f t="shared" si="48"/>
        <v>19573.96</v>
      </c>
      <c r="S557" s="3"/>
    </row>
    <row r="558">
      <c r="A558" s="6">
        <v>2025.0</v>
      </c>
      <c r="B558" s="6" t="s">
        <v>124</v>
      </c>
      <c r="C558" s="1" t="s">
        <v>284</v>
      </c>
      <c r="F558" s="6" t="s">
        <v>213</v>
      </c>
      <c r="H558" s="6" t="s">
        <v>420</v>
      </c>
      <c r="J558" s="3">
        <v>1124.0</v>
      </c>
      <c r="M558" s="6">
        <v>26380.0</v>
      </c>
      <c r="O558" s="7">
        <f t="shared" si="48"/>
        <v>29651.12</v>
      </c>
      <c r="S558" s="3"/>
    </row>
    <row r="559">
      <c r="A559" s="6">
        <v>2025.0</v>
      </c>
      <c r="B559" s="6" t="s">
        <v>124</v>
      </c>
      <c r="C559" s="1" t="s">
        <v>284</v>
      </c>
      <c r="F559" s="6" t="s">
        <v>213</v>
      </c>
      <c r="H559" s="6" t="s">
        <v>421</v>
      </c>
      <c r="J559" s="3">
        <v>1250.0</v>
      </c>
      <c r="M559" s="6">
        <v>12980.0</v>
      </c>
      <c r="O559" s="7">
        <f t="shared" si="48"/>
        <v>16225</v>
      </c>
      <c r="S559" s="3"/>
    </row>
    <row r="560">
      <c r="A560" s="6">
        <v>2025.0</v>
      </c>
      <c r="B560" s="6" t="s">
        <v>124</v>
      </c>
      <c r="C560" s="1" t="s">
        <v>284</v>
      </c>
      <c r="F560" s="6" t="s">
        <v>213</v>
      </c>
      <c r="H560" s="6" t="s">
        <v>400</v>
      </c>
      <c r="J560" s="3">
        <v>3290.0</v>
      </c>
      <c r="M560" s="6">
        <v>7900.0</v>
      </c>
      <c r="O560" s="7">
        <f t="shared" si="48"/>
        <v>25991</v>
      </c>
      <c r="S560" s="3"/>
    </row>
    <row r="561">
      <c r="A561" s="6">
        <v>2025.0</v>
      </c>
      <c r="B561" s="6" t="s">
        <v>124</v>
      </c>
      <c r="C561" s="1" t="s">
        <v>284</v>
      </c>
      <c r="F561" s="6" t="s">
        <v>213</v>
      </c>
      <c r="H561" s="6" t="s">
        <v>422</v>
      </c>
      <c r="L561" s="3">
        <v>1.0</v>
      </c>
      <c r="M561" s="6">
        <v>20990.0</v>
      </c>
      <c r="O561" s="7">
        <f>M561*L561</f>
        <v>20990</v>
      </c>
      <c r="S561" s="3"/>
    </row>
    <row r="562">
      <c r="A562" s="6">
        <v>2025.0</v>
      </c>
      <c r="B562" s="6" t="s">
        <v>124</v>
      </c>
      <c r="C562" s="1" t="s">
        <v>284</v>
      </c>
      <c r="F562" s="6" t="s">
        <v>213</v>
      </c>
      <c r="H562" s="6" t="s">
        <v>416</v>
      </c>
      <c r="J562" s="3">
        <v>770.0</v>
      </c>
      <c r="M562" s="6">
        <v>4100.0</v>
      </c>
      <c r="O562" s="7">
        <f t="shared" ref="O562:O569" si="49">M562*J562/1000</f>
        <v>3157</v>
      </c>
      <c r="S562" s="3"/>
    </row>
    <row r="563">
      <c r="A563" s="6">
        <v>2025.0</v>
      </c>
      <c r="B563" s="6" t="s">
        <v>124</v>
      </c>
      <c r="C563" s="1" t="s">
        <v>284</v>
      </c>
      <c r="F563" s="6" t="s">
        <v>213</v>
      </c>
      <c r="H563" s="6" t="s">
        <v>423</v>
      </c>
      <c r="J563" s="3">
        <v>2290.0</v>
      </c>
      <c r="M563" s="6">
        <v>3200.0</v>
      </c>
      <c r="O563" s="7">
        <f t="shared" si="49"/>
        <v>7328</v>
      </c>
      <c r="S563" s="3"/>
    </row>
    <row r="564">
      <c r="A564" s="6">
        <v>2025.0</v>
      </c>
      <c r="B564" s="6" t="s">
        <v>124</v>
      </c>
      <c r="C564" s="1" t="s">
        <v>284</v>
      </c>
      <c r="F564" s="6" t="s">
        <v>213</v>
      </c>
      <c r="H564" s="6" t="s">
        <v>382</v>
      </c>
      <c r="J564" s="3">
        <v>1470.0</v>
      </c>
      <c r="M564" s="6">
        <v>9780.0</v>
      </c>
      <c r="O564" s="7">
        <f t="shared" si="49"/>
        <v>14376.6</v>
      </c>
      <c r="S564" s="3"/>
    </row>
    <row r="565">
      <c r="A565" s="6">
        <v>2025.0</v>
      </c>
      <c r="B565" s="6" t="s">
        <v>124</v>
      </c>
      <c r="C565" s="1" t="s">
        <v>284</v>
      </c>
      <c r="F565" s="6" t="s">
        <v>213</v>
      </c>
      <c r="H565" s="6" t="s">
        <v>412</v>
      </c>
      <c r="J565" s="3">
        <v>2850.0</v>
      </c>
      <c r="M565" s="6">
        <v>2300.0</v>
      </c>
      <c r="O565" s="7">
        <f t="shared" si="49"/>
        <v>6555</v>
      </c>
      <c r="S565" s="3"/>
    </row>
    <row r="566">
      <c r="A566" s="6">
        <v>2025.0</v>
      </c>
      <c r="B566" s="6" t="s">
        <v>124</v>
      </c>
      <c r="C566" s="1" t="s">
        <v>284</v>
      </c>
      <c r="F566" s="6" t="s">
        <v>213</v>
      </c>
      <c r="H566" s="6" t="s">
        <v>380</v>
      </c>
      <c r="J566" s="3">
        <v>550.0</v>
      </c>
      <c r="M566" s="6">
        <v>6900.0</v>
      </c>
      <c r="O566" s="7">
        <f t="shared" si="49"/>
        <v>3795</v>
      </c>
      <c r="S566" s="3"/>
    </row>
    <row r="567">
      <c r="A567" s="6">
        <v>2025.0</v>
      </c>
      <c r="B567" s="6" t="s">
        <v>124</v>
      </c>
      <c r="C567" s="1" t="s">
        <v>284</v>
      </c>
      <c r="F567" s="6" t="s">
        <v>213</v>
      </c>
      <c r="H567" s="6" t="s">
        <v>390</v>
      </c>
      <c r="J567" s="3">
        <v>470.0</v>
      </c>
      <c r="M567" s="6">
        <v>5100.0</v>
      </c>
      <c r="O567" s="7">
        <f t="shared" si="49"/>
        <v>2397</v>
      </c>
      <c r="S567" s="3"/>
    </row>
    <row r="568">
      <c r="A568" s="6">
        <v>2025.0</v>
      </c>
      <c r="B568" s="6" t="s">
        <v>124</v>
      </c>
      <c r="C568" s="1" t="s">
        <v>284</v>
      </c>
      <c r="F568" s="6" t="s">
        <v>213</v>
      </c>
      <c r="H568" s="6" t="s">
        <v>385</v>
      </c>
      <c r="J568" s="3">
        <v>700.0</v>
      </c>
      <c r="M568" s="6">
        <v>3500.0</v>
      </c>
      <c r="O568" s="7">
        <f t="shared" si="49"/>
        <v>2450</v>
      </c>
      <c r="S568" s="3"/>
    </row>
    <row r="569">
      <c r="A569" s="6">
        <v>2025.0</v>
      </c>
      <c r="B569" s="6" t="s">
        <v>124</v>
      </c>
      <c r="C569" s="1" t="s">
        <v>284</v>
      </c>
      <c r="F569" s="6" t="s">
        <v>213</v>
      </c>
      <c r="H569" s="6" t="s">
        <v>386</v>
      </c>
      <c r="J569" s="3">
        <v>2090.0</v>
      </c>
      <c r="M569" s="6">
        <v>6300.0</v>
      </c>
      <c r="O569" s="7">
        <f t="shared" si="49"/>
        <v>13167</v>
      </c>
      <c r="S569" s="3"/>
    </row>
    <row r="570">
      <c r="A570" s="6">
        <v>2025.0</v>
      </c>
      <c r="B570" s="6" t="s">
        <v>124</v>
      </c>
      <c r="C570" s="1" t="s">
        <v>284</v>
      </c>
      <c r="F570" s="6" t="s">
        <v>213</v>
      </c>
      <c r="H570" s="6" t="s">
        <v>424</v>
      </c>
      <c r="L570" s="3">
        <v>1.0</v>
      </c>
      <c r="M570" s="6">
        <v>10990.0</v>
      </c>
      <c r="O570" s="7">
        <f t="shared" ref="O570:O572" si="50">M570*L570</f>
        <v>10990</v>
      </c>
      <c r="S570" s="3"/>
    </row>
    <row r="571">
      <c r="A571" s="6">
        <v>2025.0</v>
      </c>
      <c r="B571" s="6" t="s">
        <v>124</v>
      </c>
      <c r="C571" s="1" t="s">
        <v>284</v>
      </c>
      <c r="F571" s="6" t="s">
        <v>213</v>
      </c>
      <c r="H571" s="6" t="s">
        <v>425</v>
      </c>
      <c r="L571" s="3">
        <v>1.0</v>
      </c>
      <c r="M571" s="6">
        <v>1990.0</v>
      </c>
      <c r="O571" s="7">
        <f t="shared" si="50"/>
        <v>1990</v>
      </c>
      <c r="S571" s="3"/>
    </row>
    <row r="572">
      <c r="A572" s="6">
        <v>2025.0</v>
      </c>
      <c r="B572" s="6" t="s">
        <v>124</v>
      </c>
      <c r="C572" s="1" t="s">
        <v>284</v>
      </c>
      <c r="F572" s="6" t="s">
        <v>213</v>
      </c>
      <c r="H572" s="6" t="s">
        <v>426</v>
      </c>
      <c r="L572" s="3">
        <v>1.0</v>
      </c>
      <c r="M572" s="6">
        <v>2750.0</v>
      </c>
      <c r="O572" s="7">
        <f t="shared" si="50"/>
        <v>2750</v>
      </c>
      <c r="S572" s="3"/>
    </row>
    <row r="573">
      <c r="A573" s="6">
        <v>2025.0</v>
      </c>
      <c r="B573" s="6" t="s">
        <v>124</v>
      </c>
      <c r="C573" s="1" t="s">
        <v>284</v>
      </c>
      <c r="F573" s="6" t="s">
        <v>213</v>
      </c>
      <c r="H573" s="6" t="s">
        <v>379</v>
      </c>
      <c r="J573" s="3">
        <v>2250.0</v>
      </c>
      <c r="M573" s="6">
        <v>3180.0</v>
      </c>
      <c r="O573" s="7">
        <f t="shared" ref="O573:O574" si="51">M573*J573/1000</f>
        <v>7155</v>
      </c>
      <c r="S573" s="3"/>
    </row>
    <row r="574">
      <c r="A574" s="6">
        <v>2025.0</v>
      </c>
      <c r="B574" s="6" t="s">
        <v>124</v>
      </c>
      <c r="C574" s="1" t="s">
        <v>284</v>
      </c>
      <c r="F574" s="6" t="s">
        <v>213</v>
      </c>
      <c r="H574" s="6" t="s">
        <v>377</v>
      </c>
      <c r="J574" s="3">
        <v>1410.0</v>
      </c>
      <c r="M574" s="6">
        <v>2380.0</v>
      </c>
      <c r="O574" s="7">
        <f t="shared" si="51"/>
        <v>3355.8</v>
      </c>
      <c r="S574" s="3"/>
    </row>
    <row r="575">
      <c r="A575" s="6">
        <v>2025.0</v>
      </c>
      <c r="B575" s="6" t="s">
        <v>124</v>
      </c>
      <c r="C575" s="1" t="s">
        <v>284</v>
      </c>
      <c r="F575" s="6" t="s">
        <v>213</v>
      </c>
      <c r="H575" s="6" t="s">
        <v>397</v>
      </c>
      <c r="L575" s="3">
        <v>1.0</v>
      </c>
      <c r="M575" s="6">
        <v>1990.0</v>
      </c>
      <c r="O575" s="7">
        <f t="shared" ref="O575:O581" si="52">M575*L575</f>
        <v>1990</v>
      </c>
      <c r="S575" s="3"/>
    </row>
    <row r="576">
      <c r="A576" s="6">
        <v>2025.0</v>
      </c>
      <c r="B576" s="6" t="s">
        <v>124</v>
      </c>
      <c r="C576" s="1" t="s">
        <v>284</v>
      </c>
      <c r="F576" s="6" t="s">
        <v>213</v>
      </c>
      <c r="H576" s="6" t="s">
        <v>396</v>
      </c>
      <c r="L576" s="3">
        <v>1.0</v>
      </c>
      <c r="M576" s="6">
        <v>4150.0</v>
      </c>
      <c r="O576" s="7">
        <f t="shared" si="52"/>
        <v>4150</v>
      </c>
      <c r="S576" s="3"/>
    </row>
    <row r="577">
      <c r="A577" s="6">
        <v>2025.0</v>
      </c>
      <c r="B577" s="6" t="s">
        <v>124</v>
      </c>
      <c r="C577" s="1" t="s">
        <v>284</v>
      </c>
      <c r="F577" s="6" t="s">
        <v>213</v>
      </c>
      <c r="H577" s="6" t="s">
        <v>395</v>
      </c>
      <c r="L577" s="3">
        <v>1.0</v>
      </c>
      <c r="M577" s="6">
        <v>3550.0</v>
      </c>
      <c r="O577" s="7">
        <f t="shared" si="52"/>
        <v>3550</v>
      </c>
      <c r="S577" s="3"/>
    </row>
    <row r="578">
      <c r="A578" s="6">
        <v>2025.0</v>
      </c>
      <c r="B578" s="6" t="s">
        <v>124</v>
      </c>
      <c r="C578" s="1" t="s">
        <v>284</v>
      </c>
      <c r="F578" s="6" t="s">
        <v>213</v>
      </c>
      <c r="H578" s="6" t="s">
        <v>394</v>
      </c>
      <c r="L578" s="3">
        <v>1.0</v>
      </c>
      <c r="M578" s="6">
        <v>15990.0</v>
      </c>
      <c r="O578" s="7">
        <f t="shared" si="52"/>
        <v>15990</v>
      </c>
      <c r="S578" s="3"/>
    </row>
    <row r="579">
      <c r="A579" s="6">
        <v>2025.0</v>
      </c>
      <c r="B579" s="6" t="s">
        <v>124</v>
      </c>
      <c r="C579" s="1" t="s">
        <v>284</v>
      </c>
      <c r="F579" s="6" t="s">
        <v>213</v>
      </c>
      <c r="H579" s="6" t="s">
        <v>392</v>
      </c>
      <c r="L579" s="3">
        <v>1.0</v>
      </c>
      <c r="M579" s="6">
        <v>1500.0</v>
      </c>
      <c r="O579" s="7">
        <f t="shared" si="52"/>
        <v>1500</v>
      </c>
      <c r="S579" s="3"/>
    </row>
    <row r="580">
      <c r="A580" s="6">
        <v>2025.0</v>
      </c>
      <c r="B580" s="6" t="s">
        <v>124</v>
      </c>
      <c r="C580" s="1" t="s">
        <v>284</v>
      </c>
      <c r="F580" s="6" t="s">
        <v>213</v>
      </c>
      <c r="H580" s="6" t="s">
        <v>427</v>
      </c>
      <c r="L580" s="3">
        <v>1.0</v>
      </c>
      <c r="M580" s="6">
        <v>6900.0</v>
      </c>
      <c r="O580" s="7">
        <f t="shared" si="52"/>
        <v>6900</v>
      </c>
      <c r="S580" s="3"/>
    </row>
    <row r="581">
      <c r="A581" s="6">
        <v>2025.0</v>
      </c>
      <c r="B581" s="6" t="s">
        <v>124</v>
      </c>
      <c r="C581" s="1" t="s">
        <v>284</v>
      </c>
      <c r="F581" s="6" t="s">
        <v>213</v>
      </c>
      <c r="H581" s="6" t="s">
        <v>428</v>
      </c>
      <c r="L581" s="3">
        <v>1.0</v>
      </c>
      <c r="M581" s="6">
        <v>6950.0</v>
      </c>
      <c r="O581" s="7">
        <f t="shared" si="52"/>
        <v>6950</v>
      </c>
      <c r="S581" s="3"/>
    </row>
    <row r="582">
      <c r="A582" s="24" t="s">
        <v>204</v>
      </c>
      <c r="B582" s="24"/>
      <c r="C582" s="24"/>
      <c r="D582" s="24"/>
      <c r="E582" s="24"/>
      <c r="F582" s="25"/>
      <c r="G582" s="25"/>
      <c r="H582" s="25"/>
      <c r="I582" s="25"/>
      <c r="J582" s="25"/>
      <c r="K582" s="25"/>
      <c r="L582" s="25"/>
      <c r="M582" s="25"/>
      <c r="N582" s="28" t="str">
        <f>CHANGE(O529,O582)</f>
        <v>#NAME?</v>
      </c>
      <c r="O582" s="26">
        <f>SUM(O554:O581)</f>
        <v>282029.4</v>
      </c>
    </row>
    <row r="583">
      <c r="A583" s="6">
        <v>2025.0</v>
      </c>
      <c r="B583" s="6" t="s">
        <v>134</v>
      </c>
      <c r="C583" s="1" t="s">
        <v>205</v>
      </c>
      <c r="F583" s="6" t="s">
        <v>213</v>
      </c>
      <c r="H583" s="6" t="s">
        <v>429</v>
      </c>
      <c r="J583" s="3">
        <v>1158.0</v>
      </c>
      <c r="M583" s="6">
        <v>16980.0</v>
      </c>
      <c r="O583" s="7">
        <f t="shared" ref="O583:O610" si="53">M583*J583/1000</f>
        <v>19662.84</v>
      </c>
      <c r="R583" s="3"/>
    </row>
    <row r="584">
      <c r="A584" s="6">
        <v>2025.0</v>
      </c>
      <c r="B584" s="6" t="s">
        <v>134</v>
      </c>
      <c r="C584" s="1" t="s">
        <v>205</v>
      </c>
      <c r="F584" s="6" t="s">
        <v>213</v>
      </c>
      <c r="H584" s="6" t="s">
        <v>414</v>
      </c>
      <c r="J584" s="3">
        <v>1398.0</v>
      </c>
      <c r="M584" s="6">
        <v>26380.0</v>
      </c>
      <c r="O584" s="7">
        <f t="shared" si="53"/>
        <v>36879.24</v>
      </c>
      <c r="R584" s="3"/>
    </row>
    <row r="585">
      <c r="A585" s="6">
        <v>2025.0</v>
      </c>
      <c r="B585" s="6" t="s">
        <v>134</v>
      </c>
      <c r="C585" s="1" t="s">
        <v>205</v>
      </c>
      <c r="F585" s="6" t="s">
        <v>213</v>
      </c>
      <c r="H585" s="6" t="s">
        <v>419</v>
      </c>
      <c r="J585" s="3">
        <v>762.0</v>
      </c>
      <c r="M585" s="6">
        <v>17380.0</v>
      </c>
      <c r="O585" s="7">
        <f t="shared" si="53"/>
        <v>13243.56</v>
      </c>
      <c r="R585" s="3"/>
    </row>
    <row r="586">
      <c r="A586" s="6">
        <v>2025.0</v>
      </c>
      <c r="B586" s="6" t="s">
        <v>134</v>
      </c>
      <c r="C586" s="1" t="s">
        <v>205</v>
      </c>
      <c r="F586" s="6" t="s">
        <v>213</v>
      </c>
      <c r="H586" s="6" t="s">
        <v>414</v>
      </c>
      <c r="J586" s="3">
        <v>1140.0</v>
      </c>
      <c r="M586" s="6">
        <v>26380.0</v>
      </c>
      <c r="O586" s="7">
        <f t="shared" si="53"/>
        <v>30073.2</v>
      </c>
      <c r="R586" s="3"/>
    </row>
    <row r="587">
      <c r="A587" s="6">
        <v>2025.0</v>
      </c>
      <c r="B587" s="6" t="s">
        <v>134</v>
      </c>
      <c r="C587" s="1" t="s">
        <v>205</v>
      </c>
      <c r="F587" s="6" t="s">
        <v>213</v>
      </c>
      <c r="H587" s="6" t="s">
        <v>414</v>
      </c>
      <c r="J587" s="3">
        <v>506.0</v>
      </c>
      <c r="M587" s="6">
        <v>26380.0</v>
      </c>
      <c r="O587" s="7">
        <f t="shared" si="53"/>
        <v>13348.28</v>
      </c>
      <c r="R587" s="3"/>
    </row>
    <row r="588">
      <c r="A588" s="6">
        <v>2025.0</v>
      </c>
      <c r="B588" s="6" t="s">
        <v>134</v>
      </c>
      <c r="C588" s="1" t="s">
        <v>205</v>
      </c>
      <c r="F588" s="6" t="s">
        <v>213</v>
      </c>
      <c r="H588" s="6" t="s">
        <v>420</v>
      </c>
      <c r="J588" s="3">
        <v>786.0</v>
      </c>
      <c r="M588" s="6">
        <v>26980.0</v>
      </c>
      <c r="O588" s="7">
        <f t="shared" si="53"/>
        <v>21206.28</v>
      </c>
      <c r="R588" s="3"/>
    </row>
    <row r="589">
      <c r="A589" s="6">
        <v>2025.0</v>
      </c>
      <c r="B589" s="6" t="s">
        <v>134</v>
      </c>
      <c r="C589" s="1" t="s">
        <v>205</v>
      </c>
      <c r="F589" s="6" t="s">
        <v>213</v>
      </c>
      <c r="H589" s="6" t="s">
        <v>400</v>
      </c>
      <c r="J589" s="3">
        <v>3245.0</v>
      </c>
      <c r="M589" s="6">
        <v>7900.0</v>
      </c>
      <c r="O589" s="7">
        <f t="shared" si="53"/>
        <v>25635.5</v>
      </c>
      <c r="R589" s="3"/>
    </row>
    <row r="590">
      <c r="A590" s="6">
        <v>2025.0</v>
      </c>
      <c r="B590" s="6" t="s">
        <v>134</v>
      </c>
      <c r="C590" s="1" t="s">
        <v>205</v>
      </c>
      <c r="F590" s="6" t="s">
        <v>213</v>
      </c>
      <c r="H590" s="6" t="s">
        <v>430</v>
      </c>
      <c r="J590" s="3">
        <v>1370.0</v>
      </c>
      <c r="M590" s="6">
        <v>12580.0</v>
      </c>
      <c r="O590" s="7">
        <f t="shared" si="53"/>
        <v>17234.6</v>
      </c>
      <c r="R590" s="3"/>
    </row>
    <row r="591">
      <c r="A591" s="6">
        <v>2025.0</v>
      </c>
      <c r="B591" s="6" t="s">
        <v>134</v>
      </c>
      <c r="C591" s="1" t="s">
        <v>205</v>
      </c>
      <c r="F591" s="6" t="s">
        <v>213</v>
      </c>
      <c r="H591" s="6" t="s">
        <v>412</v>
      </c>
      <c r="J591" s="3">
        <v>2270.0</v>
      </c>
      <c r="M591" s="6">
        <v>1780.0</v>
      </c>
      <c r="O591" s="7">
        <f t="shared" si="53"/>
        <v>4040.6</v>
      </c>
      <c r="R591" s="3"/>
    </row>
    <row r="592">
      <c r="A592" s="6">
        <v>2025.0</v>
      </c>
      <c r="B592" s="6" t="s">
        <v>134</v>
      </c>
      <c r="C592" s="1" t="s">
        <v>205</v>
      </c>
      <c r="F592" s="6" t="s">
        <v>213</v>
      </c>
      <c r="H592" s="6" t="s">
        <v>423</v>
      </c>
      <c r="J592" s="3">
        <v>1094.0</v>
      </c>
      <c r="M592" s="6">
        <v>3200.0</v>
      </c>
      <c r="O592" s="7">
        <f t="shared" si="53"/>
        <v>3500.8</v>
      </c>
      <c r="R592" s="3"/>
    </row>
    <row r="593">
      <c r="A593" s="6">
        <v>2025.0</v>
      </c>
      <c r="B593" s="6" t="s">
        <v>134</v>
      </c>
      <c r="C593" s="1" t="s">
        <v>205</v>
      </c>
      <c r="F593" s="6" t="s">
        <v>213</v>
      </c>
      <c r="H593" s="6" t="s">
        <v>423</v>
      </c>
      <c r="J593" s="3">
        <v>2274.0</v>
      </c>
      <c r="M593" s="6">
        <v>3200.0</v>
      </c>
      <c r="O593" s="7">
        <f t="shared" si="53"/>
        <v>7276.8</v>
      </c>
      <c r="R593" s="3"/>
    </row>
    <row r="594">
      <c r="A594" s="6">
        <v>2025.0</v>
      </c>
      <c r="B594" s="6" t="s">
        <v>134</v>
      </c>
      <c r="C594" s="1" t="s">
        <v>205</v>
      </c>
      <c r="F594" s="6" t="s">
        <v>213</v>
      </c>
      <c r="H594" s="6" t="s">
        <v>386</v>
      </c>
      <c r="J594" s="3">
        <v>2702.0</v>
      </c>
      <c r="M594" s="6">
        <v>6300.0</v>
      </c>
      <c r="O594" s="7">
        <f t="shared" si="53"/>
        <v>17022.6</v>
      </c>
      <c r="R594" s="3"/>
    </row>
    <row r="595">
      <c r="A595" s="6">
        <v>2025.0</v>
      </c>
      <c r="B595" s="6" t="s">
        <v>134</v>
      </c>
      <c r="C595" s="1" t="s">
        <v>205</v>
      </c>
      <c r="F595" s="6" t="s">
        <v>213</v>
      </c>
      <c r="H595" s="6" t="s">
        <v>431</v>
      </c>
      <c r="J595" s="3">
        <v>1772.0</v>
      </c>
      <c r="M595" s="6">
        <v>4200.0</v>
      </c>
      <c r="O595" s="7">
        <f t="shared" si="53"/>
        <v>7442.4</v>
      </c>
      <c r="R595" s="3"/>
    </row>
    <row r="596">
      <c r="A596" s="6">
        <v>2025.0</v>
      </c>
      <c r="B596" s="6" t="s">
        <v>134</v>
      </c>
      <c r="C596" s="1" t="s">
        <v>205</v>
      </c>
      <c r="F596" s="6" t="s">
        <v>213</v>
      </c>
      <c r="H596" s="6" t="s">
        <v>379</v>
      </c>
      <c r="J596" s="3">
        <v>1880.0</v>
      </c>
      <c r="M596" s="6">
        <v>3100.0</v>
      </c>
      <c r="O596" s="7">
        <f t="shared" si="53"/>
        <v>5828</v>
      </c>
      <c r="R596" s="3"/>
    </row>
    <row r="597">
      <c r="A597" s="6">
        <v>2025.0</v>
      </c>
      <c r="B597" s="6" t="s">
        <v>134</v>
      </c>
      <c r="C597" s="1" t="s">
        <v>205</v>
      </c>
      <c r="F597" s="6" t="s">
        <v>213</v>
      </c>
      <c r="H597" s="6" t="s">
        <v>387</v>
      </c>
      <c r="J597" s="3">
        <v>1368.0</v>
      </c>
      <c r="M597" s="6">
        <v>1800.0</v>
      </c>
      <c r="O597" s="7">
        <f t="shared" si="53"/>
        <v>2462.4</v>
      </c>
      <c r="R597" s="3"/>
    </row>
    <row r="598">
      <c r="A598" s="6">
        <v>2025.0</v>
      </c>
      <c r="B598" s="6" t="s">
        <v>134</v>
      </c>
      <c r="C598" s="1" t="s">
        <v>205</v>
      </c>
      <c r="F598" s="6" t="s">
        <v>213</v>
      </c>
      <c r="H598" s="6" t="s">
        <v>387</v>
      </c>
      <c r="J598" s="3">
        <v>1342.0</v>
      </c>
      <c r="M598" s="6">
        <v>1800.0</v>
      </c>
      <c r="O598" s="7">
        <f t="shared" si="53"/>
        <v>2415.6</v>
      </c>
      <c r="R598" s="3"/>
    </row>
    <row r="599">
      <c r="A599" s="6">
        <v>2025.0</v>
      </c>
      <c r="B599" s="6" t="s">
        <v>134</v>
      </c>
      <c r="C599" s="1" t="s">
        <v>205</v>
      </c>
      <c r="F599" s="6" t="s">
        <v>213</v>
      </c>
      <c r="H599" s="6" t="s">
        <v>388</v>
      </c>
      <c r="J599" s="3">
        <v>2406.0</v>
      </c>
      <c r="M599" s="6">
        <v>1980.0</v>
      </c>
      <c r="O599" s="7">
        <f t="shared" si="53"/>
        <v>4763.88</v>
      </c>
      <c r="R599" s="3"/>
    </row>
    <row r="600">
      <c r="A600" s="6">
        <v>2025.0</v>
      </c>
      <c r="B600" s="6" t="s">
        <v>134</v>
      </c>
      <c r="C600" s="1" t="s">
        <v>205</v>
      </c>
      <c r="F600" s="6" t="s">
        <v>213</v>
      </c>
      <c r="H600" s="6" t="s">
        <v>384</v>
      </c>
      <c r="J600" s="3">
        <v>834.0</v>
      </c>
      <c r="M600" s="6">
        <v>8200.0</v>
      </c>
      <c r="O600" s="7">
        <f t="shared" si="53"/>
        <v>6838.8</v>
      </c>
      <c r="R600" s="3"/>
    </row>
    <row r="601">
      <c r="A601" s="6">
        <v>2025.0</v>
      </c>
      <c r="B601" s="6" t="s">
        <v>134</v>
      </c>
      <c r="C601" s="1" t="s">
        <v>205</v>
      </c>
      <c r="F601" s="6" t="s">
        <v>213</v>
      </c>
      <c r="H601" s="6" t="s">
        <v>380</v>
      </c>
      <c r="J601" s="3">
        <v>628.0</v>
      </c>
      <c r="M601" s="6">
        <v>6180.0</v>
      </c>
      <c r="O601" s="7">
        <f t="shared" si="53"/>
        <v>3881.04</v>
      </c>
      <c r="R601" s="3"/>
    </row>
    <row r="602">
      <c r="A602" s="6">
        <v>2025.0</v>
      </c>
      <c r="B602" s="6" t="s">
        <v>134</v>
      </c>
      <c r="C602" s="1" t="s">
        <v>205</v>
      </c>
      <c r="F602" s="6" t="s">
        <v>213</v>
      </c>
      <c r="H602" s="6" t="s">
        <v>390</v>
      </c>
      <c r="J602" s="3">
        <v>632.0</v>
      </c>
      <c r="M602" s="6">
        <v>3700.0</v>
      </c>
      <c r="O602" s="7">
        <f t="shared" si="53"/>
        <v>2338.4</v>
      </c>
      <c r="R602" s="3"/>
    </row>
    <row r="603">
      <c r="A603" s="6">
        <v>2025.0</v>
      </c>
      <c r="B603" s="6" t="s">
        <v>134</v>
      </c>
      <c r="C603" s="1" t="s">
        <v>205</v>
      </c>
      <c r="F603" s="6" t="s">
        <v>213</v>
      </c>
      <c r="H603" s="6" t="s">
        <v>390</v>
      </c>
      <c r="J603" s="3">
        <v>578.0</v>
      </c>
      <c r="M603" s="6">
        <v>3700.0</v>
      </c>
      <c r="O603" s="7">
        <f t="shared" si="53"/>
        <v>2138.6</v>
      </c>
      <c r="R603" s="3"/>
    </row>
    <row r="604">
      <c r="A604" s="6">
        <v>2025.0</v>
      </c>
      <c r="B604" s="6" t="s">
        <v>134</v>
      </c>
      <c r="C604" s="1" t="s">
        <v>205</v>
      </c>
      <c r="F604" s="6" t="s">
        <v>213</v>
      </c>
      <c r="H604" s="6" t="s">
        <v>389</v>
      </c>
      <c r="J604" s="3">
        <v>790.0</v>
      </c>
      <c r="M604" s="6">
        <v>4000.0</v>
      </c>
      <c r="O604" s="7">
        <f t="shared" si="53"/>
        <v>3160</v>
      </c>
      <c r="R604" s="3"/>
    </row>
    <row r="605">
      <c r="A605" s="6">
        <v>2025.0</v>
      </c>
      <c r="B605" s="6" t="s">
        <v>134</v>
      </c>
      <c r="C605" s="1" t="s">
        <v>205</v>
      </c>
      <c r="F605" s="6" t="s">
        <v>213</v>
      </c>
      <c r="H605" s="6" t="s">
        <v>432</v>
      </c>
      <c r="J605" s="3">
        <v>1296.0</v>
      </c>
      <c r="M605" s="6">
        <v>2380.0</v>
      </c>
      <c r="O605" s="7">
        <f t="shared" si="53"/>
        <v>3084.48</v>
      </c>
      <c r="R605" s="3"/>
    </row>
    <row r="606">
      <c r="A606" s="6">
        <v>2025.0</v>
      </c>
      <c r="B606" s="6" t="s">
        <v>134</v>
      </c>
      <c r="C606" s="1" t="s">
        <v>205</v>
      </c>
      <c r="F606" s="6" t="s">
        <v>213</v>
      </c>
      <c r="H606" s="6" t="s">
        <v>377</v>
      </c>
      <c r="J606" s="3">
        <v>1222.0</v>
      </c>
      <c r="M606" s="6">
        <v>3100.0</v>
      </c>
      <c r="O606" s="7">
        <f t="shared" si="53"/>
        <v>3788.2</v>
      </c>
      <c r="R606" s="3"/>
    </row>
    <row r="607">
      <c r="A607" s="6">
        <v>2025.0</v>
      </c>
      <c r="B607" s="6" t="s">
        <v>134</v>
      </c>
      <c r="C607" s="1" t="s">
        <v>205</v>
      </c>
      <c r="F607" s="6" t="s">
        <v>213</v>
      </c>
      <c r="H607" s="6" t="s">
        <v>433</v>
      </c>
      <c r="J607" s="3">
        <v>1156.0</v>
      </c>
      <c r="M607" s="6">
        <v>4780.0</v>
      </c>
      <c r="O607" s="7">
        <f t="shared" si="53"/>
        <v>5525.68</v>
      </c>
      <c r="R607" s="3"/>
    </row>
    <row r="608">
      <c r="A608" s="6">
        <v>2025.0</v>
      </c>
      <c r="B608" s="6" t="s">
        <v>134</v>
      </c>
      <c r="C608" s="1" t="s">
        <v>205</v>
      </c>
      <c r="F608" s="6" t="s">
        <v>213</v>
      </c>
      <c r="H608" s="6" t="s">
        <v>416</v>
      </c>
      <c r="J608" s="3">
        <v>598.0</v>
      </c>
      <c r="M608" s="6">
        <v>4400.0</v>
      </c>
      <c r="O608" s="7">
        <f t="shared" si="53"/>
        <v>2631.2</v>
      </c>
      <c r="R608" s="3"/>
    </row>
    <row r="609">
      <c r="A609" s="6">
        <v>2025.0</v>
      </c>
      <c r="B609" s="6" t="s">
        <v>134</v>
      </c>
      <c r="C609" s="1" t="s">
        <v>205</v>
      </c>
      <c r="F609" s="6" t="s">
        <v>213</v>
      </c>
      <c r="H609" s="6" t="s">
        <v>434</v>
      </c>
      <c r="J609" s="3">
        <v>2124.0</v>
      </c>
      <c r="M609" s="6">
        <v>3000.0</v>
      </c>
      <c r="O609" s="7">
        <f t="shared" si="53"/>
        <v>6372</v>
      </c>
      <c r="R609" s="3"/>
    </row>
    <row r="610">
      <c r="A610" s="6">
        <v>2025.0</v>
      </c>
      <c r="B610" s="6" t="s">
        <v>134</v>
      </c>
      <c r="C610" s="1" t="s">
        <v>205</v>
      </c>
      <c r="F610" s="6" t="s">
        <v>213</v>
      </c>
      <c r="H610" s="6" t="s">
        <v>435</v>
      </c>
      <c r="J610" s="3">
        <v>354.0</v>
      </c>
      <c r="M610" s="6">
        <v>5600.0</v>
      </c>
      <c r="O610" s="7">
        <f t="shared" si="53"/>
        <v>1982.4</v>
      </c>
      <c r="R610" s="3"/>
    </row>
    <row r="611">
      <c r="A611" s="6">
        <v>2025.0</v>
      </c>
      <c r="B611" s="6" t="s">
        <v>134</v>
      </c>
      <c r="C611" s="1" t="s">
        <v>205</v>
      </c>
      <c r="F611" s="6" t="s">
        <v>213</v>
      </c>
      <c r="H611" s="6" t="s">
        <v>391</v>
      </c>
      <c r="L611" s="6">
        <v>1.0</v>
      </c>
      <c r="M611" s="6">
        <v>7200.0</v>
      </c>
      <c r="O611" s="7">
        <f t="shared" ref="O611:O616" si="54">M611*L611</f>
        <v>7200</v>
      </c>
    </row>
    <row r="612">
      <c r="A612" s="6">
        <v>2025.0</v>
      </c>
      <c r="B612" s="6" t="s">
        <v>134</v>
      </c>
      <c r="C612" s="1" t="s">
        <v>205</v>
      </c>
      <c r="F612" s="6" t="s">
        <v>213</v>
      </c>
      <c r="H612" s="6" t="s">
        <v>436</v>
      </c>
      <c r="L612" s="6">
        <v>1.0</v>
      </c>
      <c r="M612" s="6">
        <v>2990.0</v>
      </c>
      <c r="O612" s="7">
        <f t="shared" si="54"/>
        <v>2990</v>
      </c>
    </row>
    <row r="613">
      <c r="A613" s="6">
        <v>2025.0</v>
      </c>
      <c r="B613" s="6" t="s">
        <v>134</v>
      </c>
      <c r="C613" s="1" t="s">
        <v>205</v>
      </c>
      <c r="F613" s="6" t="s">
        <v>213</v>
      </c>
      <c r="H613" s="6" t="s">
        <v>396</v>
      </c>
      <c r="L613" s="6">
        <v>1.0</v>
      </c>
      <c r="M613" s="6">
        <v>4390.0</v>
      </c>
      <c r="O613" s="7">
        <f t="shared" si="54"/>
        <v>4390</v>
      </c>
    </row>
    <row r="614">
      <c r="A614" s="6">
        <v>2025.0</v>
      </c>
      <c r="B614" s="6" t="s">
        <v>134</v>
      </c>
      <c r="C614" s="1" t="s">
        <v>205</v>
      </c>
      <c r="F614" s="6" t="s">
        <v>213</v>
      </c>
      <c r="H614" s="6" t="s">
        <v>394</v>
      </c>
      <c r="L614" s="6">
        <v>1.0</v>
      </c>
      <c r="M614" s="6">
        <v>18550.0</v>
      </c>
      <c r="O614" s="7">
        <f t="shared" si="54"/>
        <v>18550</v>
      </c>
    </row>
    <row r="615">
      <c r="A615" s="6">
        <v>2025.0</v>
      </c>
      <c r="B615" s="6" t="s">
        <v>134</v>
      </c>
      <c r="C615" s="1" t="s">
        <v>205</v>
      </c>
      <c r="F615" s="6" t="s">
        <v>213</v>
      </c>
      <c r="H615" s="6" t="s">
        <v>410</v>
      </c>
      <c r="L615" s="6">
        <v>1.0</v>
      </c>
      <c r="M615" s="6">
        <v>3590.0</v>
      </c>
      <c r="O615" s="7">
        <f t="shared" si="54"/>
        <v>3590</v>
      </c>
    </row>
    <row r="616">
      <c r="A616" s="6">
        <v>2025.0</v>
      </c>
      <c r="B616" s="6" t="s">
        <v>134</v>
      </c>
      <c r="C616" s="1" t="s">
        <v>205</v>
      </c>
      <c r="F616" s="6" t="s">
        <v>213</v>
      </c>
      <c r="H616" s="6" t="s">
        <v>437</v>
      </c>
      <c r="L616" s="6">
        <v>1.0</v>
      </c>
      <c r="M616" s="6">
        <v>20990.0</v>
      </c>
      <c r="O616" s="7">
        <f t="shared" si="54"/>
        <v>20990</v>
      </c>
    </row>
    <row r="617">
      <c r="A617" s="24" t="s">
        <v>204</v>
      </c>
      <c r="B617" s="24"/>
      <c r="C617" s="24"/>
      <c r="D617" s="24"/>
      <c r="E617" s="24"/>
      <c r="F617" s="25"/>
      <c r="G617" s="25"/>
      <c r="H617" s="25"/>
      <c r="I617" s="25"/>
      <c r="J617" s="25"/>
      <c r="K617" s="25"/>
      <c r="L617" s="25"/>
      <c r="M617" s="25"/>
      <c r="N617" s="28" t="str">
        <f>CHANGE(O564,O617)</f>
        <v>#NAME?</v>
      </c>
      <c r="O617" s="26">
        <f>SUM(O583:O616)</f>
        <v>331487.38</v>
      </c>
    </row>
    <row r="618">
      <c r="A618" s="6">
        <v>2025.0</v>
      </c>
      <c r="B618" s="6" t="s">
        <v>134</v>
      </c>
      <c r="C618" s="1" t="s">
        <v>284</v>
      </c>
      <c r="F618" s="6" t="s">
        <v>213</v>
      </c>
      <c r="H618" s="6" t="s">
        <v>414</v>
      </c>
      <c r="J618" s="3">
        <v>1300.0</v>
      </c>
      <c r="M618" s="6">
        <v>19700.0</v>
      </c>
      <c r="O618" s="7">
        <f t="shared" ref="O618:O623" si="55">M618*J618/1000</f>
        <v>25610</v>
      </c>
      <c r="R618" s="3"/>
    </row>
    <row r="619">
      <c r="A619" s="6">
        <v>2025.0</v>
      </c>
      <c r="B619" s="6" t="s">
        <v>134</v>
      </c>
      <c r="C619" s="1" t="s">
        <v>284</v>
      </c>
      <c r="F619" s="6" t="s">
        <v>213</v>
      </c>
      <c r="H619" s="6" t="s">
        <v>419</v>
      </c>
      <c r="J619" s="3">
        <v>650.0</v>
      </c>
      <c r="M619" s="6">
        <v>23980.0</v>
      </c>
      <c r="O619" s="7">
        <f t="shared" si="55"/>
        <v>15587</v>
      </c>
      <c r="R619" s="3"/>
    </row>
    <row r="620">
      <c r="A620" s="6">
        <v>2025.0</v>
      </c>
      <c r="B620" s="6" t="s">
        <v>134</v>
      </c>
      <c r="C620" s="1" t="s">
        <v>284</v>
      </c>
      <c r="F620" s="6" t="s">
        <v>213</v>
      </c>
      <c r="H620" s="6" t="s">
        <v>420</v>
      </c>
      <c r="J620" s="3">
        <v>690.0</v>
      </c>
      <c r="M620" s="6">
        <v>26980.0</v>
      </c>
      <c r="O620" s="7">
        <f t="shared" si="55"/>
        <v>18616.2</v>
      </c>
      <c r="R620" s="3"/>
    </row>
    <row r="621">
      <c r="A621" s="6">
        <v>2025.0</v>
      </c>
      <c r="B621" s="6" t="s">
        <v>134</v>
      </c>
      <c r="C621" s="1" t="s">
        <v>284</v>
      </c>
      <c r="F621" s="6" t="s">
        <v>213</v>
      </c>
      <c r="H621" s="6" t="s">
        <v>438</v>
      </c>
      <c r="J621" s="3">
        <v>1270.0</v>
      </c>
      <c r="M621" s="6">
        <v>31980.0</v>
      </c>
      <c r="O621" s="7">
        <f t="shared" si="55"/>
        <v>40614.6</v>
      </c>
      <c r="R621" s="3"/>
    </row>
    <row r="622">
      <c r="A622" s="6">
        <v>2025.0</v>
      </c>
      <c r="B622" s="6" t="s">
        <v>134</v>
      </c>
      <c r="C622" s="1" t="s">
        <v>284</v>
      </c>
      <c r="F622" s="6" t="s">
        <v>213</v>
      </c>
      <c r="H622" s="6" t="s">
        <v>439</v>
      </c>
      <c r="J622" s="3">
        <v>1250.0</v>
      </c>
      <c r="M622" s="6">
        <v>6300.0</v>
      </c>
      <c r="O622" s="7">
        <f t="shared" si="55"/>
        <v>7875</v>
      </c>
      <c r="R622" s="3"/>
    </row>
    <row r="623">
      <c r="A623" s="6">
        <v>2025.0</v>
      </c>
      <c r="B623" s="6" t="s">
        <v>134</v>
      </c>
      <c r="C623" s="1" t="s">
        <v>284</v>
      </c>
      <c r="F623" s="6" t="s">
        <v>213</v>
      </c>
      <c r="H623" s="6" t="s">
        <v>429</v>
      </c>
      <c r="J623" s="3">
        <v>1058.0</v>
      </c>
      <c r="M623" s="6">
        <v>16980.0</v>
      </c>
      <c r="O623" s="7">
        <f t="shared" si="55"/>
        <v>17964.84</v>
      </c>
      <c r="R623" s="3"/>
    </row>
    <row r="624">
      <c r="A624" s="6">
        <v>2025.0</v>
      </c>
      <c r="B624" s="6" t="s">
        <v>134</v>
      </c>
      <c r="C624" s="1" t="s">
        <v>284</v>
      </c>
      <c r="F624" s="6" t="s">
        <v>213</v>
      </c>
      <c r="H624" s="6" t="s">
        <v>440</v>
      </c>
      <c r="L624" s="6">
        <v>1.0</v>
      </c>
      <c r="M624" s="6">
        <v>27600.0</v>
      </c>
      <c r="O624" s="7">
        <f>M624*L624</f>
        <v>27600</v>
      </c>
    </row>
    <row r="625">
      <c r="A625" s="6">
        <v>2025.0</v>
      </c>
      <c r="B625" s="6" t="s">
        <v>134</v>
      </c>
      <c r="C625" s="1" t="s">
        <v>284</v>
      </c>
      <c r="F625" s="6" t="s">
        <v>213</v>
      </c>
      <c r="H625" s="6" t="s">
        <v>400</v>
      </c>
      <c r="J625" s="3">
        <v>3295.0</v>
      </c>
      <c r="M625" s="6">
        <v>7580.0</v>
      </c>
      <c r="O625" s="7">
        <f>M625*J625/1000</f>
        <v>24976.1</v>
      </c>
      <c r="R625" s="3"/>
    </row>
    <row r="626">
      <c r="A626" s="6">
        <v>2025.0</v>
      </c>
      <c r="B626" s="6" t="s">
        <v>134</v>
      </c>
      <c r="C626" s="1" t="s">
        <v>284</v>
      </c>
      <c r="F626" s="6" t="s">
        <v>213</v>
      </c>
      <c r="H626" s="6" t="s">
        <v>441</v>
      </c>
      <c r="L626" s="6">
        <v>1.0</v>
      </c>
      <c r="M626" s="6">
        <v>1800.0</v>
      </c>
      <c r="O626" s="7">
        <f>M626*L626</f>
        <v>1800</v>
      </c>
    </row>
    <row r="627">
      <c r="A627" s="6">
        <v>2025.0</v>
      </c>
      <c r="B627" s="6" t="s">
        <v>134</v>
      </c>
      <c r="C627" s="1" t="s">
        <v>284</v>
      </c>
      <c r="F627" s="6" t="s">
        <v>213</v>
      </c>
      <c r="H627" s="6" t="s">
        <v>423</v>
      </c>
      <c r="J627" s="3">
        <v>2370.0</v>
      </c>
      <c r="M627" s="6">
        <v>2780.0</v>
      </c>
      <c r="O627" s="7">
        <f t="shared" ref="O627:O646" si="56">M627*J627/1000</f>
        <v>6588.6</v>
      </c>
      <c r="R627" s="3"/>
    </row>
    <row r="628">
      <c r="A628" s="6">
        <v>2025.0</v>
      </c>
      <c r="B628" s="6" t="s">
        <v>134</v>
      </c>
      <c r="C628" s="1" t="s">
        <v>284</v>
      </c>
      <c r="F628" s="6" t="s">
        <v>213</v>
      </c>
      <c r="H628" s="6" t="s">
        <v>423</v>
      </c>
      <c r="J628" s="3">
        <v>1060.0</v>
      </c>
      <c r="M628" s="6">
        <v>2780.0</v>
      </c>
      <c r="O628" s="7">
        <f t="shared" si="56"/>
        <v>2946.8</v>
      </c>
      <c r="R628" s="3"/>
    </row>
    <row r="629">
      <c r="A629" s="6">
        <v>2025.0</v>
      </c>
      <c r="B629" s="6" t="s">
        <v>134</v>
      </c>
      <c r="C629" s="1" t="s">
        <v>284</v>
      </c>
      <c r="F629" s="6" t="s">
        <v>213</v>
      </c>
      <c r="H629" s="6" t="s">
        <v>385</v>
      </c>
      <c r="J629" s="3">
        <v>990.0</v>
      </c>
      <c r="M629" s="6">
        <v>2180.0</v>
      </c>
      <c r="O629" s="7">
        <f t="shared" si="56"/>
        <v>2158.2</v>
      </c>
      <c r="R629" s="3"/>
    </row>
    <row r="630">
      <c r="A630" s="6">
        <v>2025.0</v>
      </c>
      <c r="B630" s="6" t="s">
        <v>134</v>
      </c>
      <c r="C630" s="1" t="s">
        <v>284</v>
      </c>
      <c r="F630" s="6" t="s">
        <v>213</v>
      </c>
      <c r="H630" s="6" t="s">
        <v>442</v>
      </c>
      <c r="J630" s="3">
        <v>770.0</v>
      </c>
      <c r="M630" s="6">
        <v>4200.0</v>
      </c>
      <c r="O630" s="7">
        <f t="shared" si="56"/>
        <v>3234</v>
      </c>
      <c r="R630" s="3"/>
    </row>
    <row r="631">
      <c r="A631" s="6">
        <v>2025.0</v>
      </c>
      <c r="B631" s="6" t="s">
        <v>134</v>
      </c>
      <c r="C631" s="1" t="s">
        <v>284</v>
      </c>
      <c r="F631" s="6" t="s">
        <v>213</v>
      </c>
      <c r="H631" s="6" t="s">
        <v>412</v>
      </c>
      <c r="J631" s="3">
        <v>2540.0</v>
      </c>
      <c r="M631" s="6">
        <v>1780.0</v>
      </c>
      <c r="O631" s="7">
        <f t="shared" si="56"/>
        <v>4521.2</v>
      </c>
      <c r="R631" s="3"/>
    </row>
    <row r="632">
      <c r="A632" s="6">
        <v>2025.0</v>
      </c>
      <c r="B632" s="6" t="s">
        <v>134</v>
      </c>
      <c r="C632" s="1" t="s">
        <v>284</v>
      </c>
      <c r="F632" s="6" t="s">
        <v>213</v>
      </c>
      <c r="H632" s="6" t="s">
        <v>377</v>
      </c>
      <c r="J632" s="3">
        <v>1390.0</v>
      </c>
      <c r="M632" s="6">
        <v>3180.0</v>
      </c>
      <c r="O632" s="7">
        <f t="shared" si="56"/>
        <v>4420.2</v>
      </c>
      <c r="R632" s="3"/>
    </row>
    <row r="633">
      <c r="A633" s="6">
        <v>2025.0</v>
      </c>
      <c r="B633" s="6" t="s">
        <v>134</v>
      </c>
      <c r="C633" s="1" t="s">
        <v>284</v>
      </c>
      <c r="F633" s="6" t="s">
        <v>213</v>
      </c>
      <c r="H633" s="6" t="s">
        <v>443</v>
      </c>
      <c r="J633" s="3">
        <v>370.0</v>
      </c>
      <c r="M633" s="6">
        <v>3000.0</v>
      </c>
      <c r="O633" s="7">
        <f t="shared" si="56"/>
        <v>1110</v>
      </c>
      <c r="R633" s="3"/>
    </row>
    <row r="634">
      <c r="A634" s="6">
        <v>2025.0</v>
      </c>
      <c r="B634" s="6" t="s">
        <v>134</v>
      </c>
      <c r="C634" s="1" t="s">
        <v>284</v>
      </c>
      <c r="F634" s="6" t="s">
        <v>213</v>
      </c>
      <c r="H634" s="6" t="s">
        <v>379</v>
      </c>
      <c r="J634" s="3">
        <v>2270.0</v>
      </c>
      <c r="M634" s="6">
        <v>3100.0</v>
      </c>
      <c r="O634" s="7">
        <f t="shared" si="56"/>
        <v>7037</v>
      </c>
      <c r="R634" s="3"/>
    </row>
    <row r="635">
      <c r="A635" s="6">
        <v>2025.0</v>
      </c>
      <c r="B635" s="6" t="s">
        <v>134</v>
      </c>
      <c r="C635" s="1" t="s">
        <v>284</v>
      </c>
      <c r="F635" s="6" t="s">
        <v>213</v>
      </c>
      <c r="H635" s="6" t="s">
        <v>388</v>
      </c>
      <c r="J635" s="3">
        <v>690.0</v>
      </c>
      <c r="M635" s="6">
        <v>2580.0</v>
      </c>
      <c r="O635" s="7">
        <f t="shared" si="56"/>
        <v>1780.2</v>
      </c>
      <c r="R635" s="3"/>
    </row>
    <row r="636">
      <c r="A636" s="6">
        <v>2025.0</v>
      </c>
      <c r="B636" s="6" t="s">
        <v>134</v>
      </c>
      <c r="C636" s="1" t="s">
        <v>284</v>
      </c>
      <c r="F636" s="6" t="s">
        <v>213</v>
      </c>
      <c r="H636" s="6" t="s">
        <v>390</v>
      </c>
      <c r="J636" s="3">
        <v>1300.0</v>
      </c>
      <c r="M636" s="6">
        <v>4580.0</v>
      </c>
      <c r="O636" s="7">
        <f t="shared" si="56"/>
        <v>5954</v>
      </c>
      <c r="R636" s="3"/>
    </row>
    <row r="637">
      <c r="A637" s="6">
        <v>2025.0</v>
      </c>
      <c r="B637" s="6" t="s">
        <v>134</v>
      </c>
      <c r="C637" s="1" t="s">
        <v>284</v>
      </c>
      <c r="F637" s="6" t="s">
        <v>213</v>
      </c>
      <c r="H637" s="6" t="s">
        <v>387</v>
      </c>
      <c r="J637" s="3">
        <v>1050.0</v>
      </c>
      <c r="M637" s="6">
        <v>3180.0</v>
      </c>
      <c r="O637" s="7">
        <f t="shared" si="56"/>
        <v>3339</v>
      </c>
      <c r="R637" s="3"/>
    </row>
    <row r="638">
      <c r="A638" s="6">
        <v>2025.0</v>
      </c>
      <c r="B638" s="6" t="s">
        <v>134</v>
      </c>
      <c r="C638" s="1" t="s">
        <v>284</v>
      </c>
      <c r="F638" s="6" t="s">
        <v>213</v>
      </c>
      <c r="H638" s="6" t="s">
        <v>384</v>
      </c>
      <c r="J638" s="3">
        <v>560.0</v>
      </c>
      <c r="M638" s="6">
        <v>7180.0</v>
      </c>
      <c r="O638" s="7">
        <f t="shared" si="56"/>
        <v>4020.8</v>
      </c>
      <c r="R638" s="3"/>
    </row>
    <row r="639">
      <c r="A639" s="6">
        <v>2025.0</v>
      </c>
      <c r="B639" s="6" t="s">
        <v>134</v>
      </c>
      <c r="C639" s="1" t="s">
        <v>284</v>
      </c>
      <c r="F639" s="6" t="s">
        <v>213</v>
      </c>
      <c r="H639" s="6" t="s">
        <v>386</v>
      </c>
      <c r="J639" s="3">
        <v>3470.0</v>
      </c>
      <c r="M639" s="6">
        <v>6980.0</v>
      </c>
      <c r="O639" s="7">
        <f t="shared" si="56"/>
        <v>24220.6</v>
      </c>
      <c r="R639" s="3"/>
    </row>
    <row r="640">
      <c r="A640" s="6">
        <v>2025.0</v>
      </c>
      <c r="B640" s="6" t="s">
        <v>134</v>
      </c>
      <c r="C640" s="1" t="s">
        <v>284</v>
      </c>
      <c r="F640" s="6" t="s">
        <v>213</v>
      </c>
      <c r="H640" s="6" t="s">
        <v>416</v>
      </c>
      <c r="J640" s="3">
        <v>650.0</v>
      </c>
      <c r="M640" s="6">
        <v>3980.0</v>
      </c>
      <c r="O640" s="7">
        <f t="shared" si="56"/>
        <v>2587</v>
      </c>
      <c r="R640" s="3"/>
    </row>
    <row r="641">
      <c r="A641" s="6">
        <v>2025.0</v>
      </c>
      <c r="B641" s="6" t="s">
        <v>134</v>
      </c>
      <c r="C641" s="1" t="s">
        <v>284</v>
      </c>
      <c r="F641" s="6" t="s">
        <v>213</v>
      </c>
      <c r="H641" s="6" t="s">
        <v>381</v>
      </c>
      <c r="J641" s="3">
        <v>90.0</v>
      </c>
      <c r="M641" s="6">
        <v>11100.0</v>
      </c>
      <c r="O641" s="7">
        <f t="shared" si="56"/>
        <v>999</v>
      </c>
      <c r="R641" s="3"/>
    </row>
    <row r="642">
      <c r="A642" s="6">
        <v>2025.0</v>
      </c>
      <c r="B642" s="6" t="s">
        <v>134</v>
      </c>
      <c r="C642" s="1" t="s">
        <v>284</v>
      </c>
      <c r="F642" s="6" t="s">
        <v>213</v>
      </c>
      <c r="H642" s="6" t="s">
        <v>384</v>
      </c>
      <c r="J642" s="3">
        <v>280.0</v>
      </c>
      <c r="M642" s="6">
        <v>7180.0</v>
      </c>
      <c r="O642" s="7">
        <f t="shared" si="56"/>
        <v>2010.4</v>
      </c>
      <c r="R642" s="3"/>
    </row>
    <row r="643">
      <c r="A643" s="6">
        <v>2025.0</v>
      </c>
      <c r="B643" s="6" t="s">
        <v>134</v>
      </c>
      <c r="C643" s="1" t="s">
        <v>284</v>
      </c>
      <c r="F643" s="6" t="s">
        <v>213</v>
      </c>
      <c r="H643" s="6" t="s">
        <v>383</v>
      </c>
      <c r="J643" s="3">
        <v>530.0</v>
      </c>
      <c r="M643" s="6">
        <v>7680.0</v>
      </c>
      <c r="O643" s="7">
        <f t="shared" si="56"/>
        <v>4070.4</v>
      </c>
      <c r="R643" s="3"/>
    </row>
    <row r="644">
      <c r="A644" s="6">
        <v>2025.0</v>
      </c>
      <c r="B644" s="6" t="s">
        <v>134</v>
      </c>
      <c r="C644" s="1" t="s">
        <v>284</v>
      </c>
      <c r="F644" s="6" t="s">
        <v>213</v>
      </c>
      <c r="H644" s="6" t="s">
        <v>435</v>
      </c>
      <c r="J644" s="3">
        <v>230.0</v>
      </c>
      <c r="M644" s="6">
        <v>5600.0</v>
      </c>
      <c r="O644" s="7">
        <f t="shared" si="56"/>
        <v>1288</v>
      </c>
      <c r="R644" s="3"/>
    </row>
    <row r="645">
      <c r="A645" s="6">
        <v>2025.0</v>
      </c>
      <c r="B645" s="6" t="s">
        <v>134</v>
      </c>
      <c r="C645" s="1" t="s">
        <v>284</v>
      </c>
      <c r="F645" s="6" t="s">
        <v>213</v>
      </c>
      <c r="H645" s="6" t="s">
        <v>409</v>
      </c>
      <c r="J645" s="3">
        <v>1360.0</v>
      </c>
      <c r="M645" s="6">
        <v>3780.0</v>
      </c>
      <c r="O645" s="7">
        <f t="shared" si="56"/>
        <v>5140.8</v>
      </c>
      <c r="R645" s="3"/>
    </row>
    <row r="646">
      <c r="A646" s="6">
        <v>2025.0</v>
      </c>
      <c r="B646" s="6" t="s">
        <v>134</v>
      </c>
      <c r="C646" s="1" t="s">
        <v>284</v>
      </c>
      <c r="F646" s="6" t="s">
        <v>213</v>
      </c>
      <c r="H646" s="6" t="s">
        <v>387</v>
      </c>
      <c r="J646" s="3">
        <v>920.0</v>
      </c>
      <c r="M646" s="6">
        <v>3180.0</v>
      </c>
      <c r="O646" s="7">
        <f t="shared" si="56"/>
        <v>2925.6</v>
      </c>
      <c r="R646" s="3"/>
    </row>
    <row r="647">
      <c r="A647" s="6">
        <v>2025.0</v>
      </c>
      <c r="B647" s="6" t="s">
        <v>134</v>
      </c>
      <c r="C647" s="1" t="s">
        <v>284</v>
      </c>
      <c r="F647" s="6" t="s">
        <v>213</v>
      </c>
      <c r="H647" s="6" t="s">
        <v>394</v>
      </c>
      <c r="L647" s="6">
        <v>1.0</v>
      </c>
      <c r="M647" s="6">
        <v>19150.0</v>
      </c>
      <c r="O647" s="7">
        <f t="shared" ref="O647:O654" si="57">M647*L647</f>
        <v>19150</v>
      </c>
    </row>
    <row r="648">
      <c r="A648" s="6">
        <v>2025.0</v>
      </c>
      <c r="B648" s="6" t="s">
        <v>134</v>
      </c>
      <c r="C648" s="1" t="s">
        <v>284</v>
      </c>
      <c r="F648" s="6" t="s">
        <v>213</v>
      </c>
      <c r="H648" s="6" t="s">
        <v>391</v>
      </c>
      <c r="L648" s="6">
        <v>1.0</v>
      </c>
      <c r="M648" s="6">
        <v>7200.0</v>
      </c>
      <c r="O648" s="7">
        <f t="shared" si="57"/>
        <v>7200</v>
      </c>
    </row>
    <row r="649">
      <c r="A649" s="6">
        <v>2025.0</v>
      </c>
      <c r="B649" s="6" t="s">
        <v>134</v>
      </c>
      <c r="C649" s="1" t="s">
        <v>284</v>
      </c>
      <c r="F649" s="6" t="s">
        <v>213</v>
      </c>
      <c r="H649" s="6" t="s">
        <v>396</v>
      </c>
      <c r="L649" s="6">
        <v>1.0</v>
      </c>
      <c r="M649" s="6">
        <v>4390.0</v>
      </c>
      <c r="O649" s="7">
        <f t="shared" si="57"/>
        <v>4390</v>
      </c>
    </row>
    <row r="650">
      <c r="A650" s="6">
        <v>2025.0</v>
      </c>
      <c r="B650" s="6" t="s">
        <v>134</v>
      </c>
      <c r="C650" s="1" t="s">
        <v>284</v>
      </c>
      <c r="F650" s="6" t="s">
        <v>213</v>
      </c>
      <c r="H650" s="6" t="s">
        <v>397</v>
      </c>
      <c r="L650" s="6">
        <v>1.0</v>
      </c>
      <c r="M650" s="6">
        <v>1990.0</v>
      </c>
      <c r="O650" s="7">
        <f t="shared" si="57"/>
        <v>1990</v>
      </c>
    </row>
    <row r="651">
      <c r="A651" s="6">
        <v>2025.0</v>
      </c>
      <c r="B651" s="6" t="s">
        <v>134</v>
      </c>
      <c r="C651" s="1" t="s">
        <v>284</v>
      </c>
      <c r="F651" s="6" t="s">
        <v>213</v>
      </c>
      <c r="H651" s="6" t="s">
        <v>444</v>
      </c>
      <c r="L651" s="6">
        <v>1.0</v>
      </c>
      <c r="M651" s="6">
        <v>4500.0</v>
      </c>
      <c r="O651" s="7">
        <f t="shared" si="57"/>
        <v>4500</v>
      </c>
    </row>
    <row r="652">
      <c r="A652" s="6">
        <v>2025.0</v>
      </c>
      <c r="B652" s="6" t="s">
        <v>134</v>
      </c>
      <c r="C652" s="1" t="s">
        <v>284</v>
      </c>
      <c r="F652" s="6" t="s">
        <v>213</v>
      </c>
      <c r="H652" s="6" t="s">
        <v>445</v>
      </c>
      <c r="L652" s="6">
        <v>1.0</v>
      </c>
      <c r="M652" s="6">
        <v>9750.0</v>
      </c>
      <c r="O652" s="7">
        <f t="shared" si="57"/>
        <v>9750</v>
      </c>
    </row>
    <row r="653">
      <c r="A653" s="6">
        <v>2025.0</v>
      </c>
      <c r="B653" s="6" t="s">
        <v>134</v>
      </c>
      <c r="C653" s="1" t="s">
        <v>284</v>
      </c>
      <c r="F653" s="6" t="s">
        <v>213</v>
      </c>
      <c r="H653" s="6" t="s">
        <v>446</v>
      </c>
      <c r="L653" s="6">
        <v>1.0</v>
      </c>
      <c r="M653" s="6">
        <v>12990.0</v>
      </c>
      <c r="O653" s="7">
        <f t="shared" si="57"/>
        <v>12990</v>
      </c>
    </row>
    <row r="654">
      <c r="A654" s="6">
        <v>2025.0</v>
      </c>
      <c r="B654" s="6" t="s">
        <v>134</v>
      </c>
      <c r="C654" s="1" t="s">
        <v>284</v>
      </c>
      <c r="F654" s="6" t="s">
        <v>213</v>
      </c>
      <c r="H654" s="6" t="s">
        <v>411</v>
      </c>
      <c r="L654" s="6">
        <v>1.0</v>
      </c>
      <c r="M654" s="6">
        <v>3190.0</v>
      </c>
      <c r="O654" s="7">
        <f t="shared" si="57"/>
        <v>3190</v>
      </c>
    </row>
    <row r="655">
      <c r="A655" s="24" t="s">
        <v>204</v>
      </c>
      <c r="B655" s="24"/>
      <c r="C655" s="24"/>
      <c r="D655" s="24"/>
      <c r="E655" s="24"/>
      <c r="F655" s="25"/>
      <c r="G655" s="25"/>
      <c r="H655" s="25"/>
      <c r="I655" s="25"/>
      <c r="J655" s="25"/>
      <c r="K655" s="25"/>
      <c r="L655" s="25"/>
      <c r="M655" s="25"/>
      <c r="N655" s="28" t="str">
        <f>CHANGE(O602,O655)</f>
        <v>#NAME?</v>
      </c>
      <c r="O655" s="26">
        <f>SUM(O618:O654)</f>
        <v>334155.54</v>
      </c>
    </row>
    <row r="656">
      <c r="A656" s="6">
        <v>2025.0</v>
      </c>
      <c r="B656" s="6" t="s">
        <v>160</v>
      </c>
      <c r="C656" s="1" t="s">
        <v>205</v>
      </c>
      <c r="F656" s="6" t="s">
        <v>213</v>
      </c>
      <c r="H656" s="6" t="s">
        <v>414</v>
      </c>
      <c r="J656" s="3">
        <v>1064.0</v>
      </c>
      <c r="M656" s="6">
        <v>19580.0</v>
      </c>
      <c r="O656" s="7">
        <f t="shared" ref="O656:O678" si="58">M656*J656/1000</f>
        <v>20833.12</v>
      </c>
    </row>
    <row r="657">
      <c r="A657" s="6">
        <v>2025.0</v>
      </c>
      <c r="B657" s="6" t="s">
        <v>160</v>
      </c>
      <c r="C657" s="1" t="s">
        <v>205</v>
      </c>
      <c r="F657" s="6" t="s">
        <v>213</v>
      </c>
      <c r="H657" s="6" t="s">
        <v>419</v>
      </c>
      <c r="J657" s="3">
        <v>850.0</v>
      </c>
      <c r="M657" s="6">
        <v>16700.0</v>
      </c>
      <c r="O657" s="7">
        <f t="shared" si="58"/>
        <v>14195</v>
      </c>
      <c r="R657" s="3"/>
    </row>
    <row r="658">
      <c r="A658" s="6">
        <v>2025.0</v>
      </c>
      <c r="B658" s="6" t="s">
        <v>160</v>
      </c>
      <c r="C658" s="1" t="s">
        <v>205</v>
      </c>
      <c r="F658" s="6" t="s">
        <v>213</v>
      </c>
      <c r="H658" s="6" t="s">
        <v>420</v>
      </c>
      <c r="J658" s="3">
        <v>768.0</v>
      </c>
      <c r="M658" s="6">
        <v>26980.0</v>
      </c>
      <c r="O658" s="7">
        <f t="shared" si="58"/>
        <v>20720.64</v>
      </c>
      <c r="R658" s="3"/>
    </row>
    <row r="659">
      <c r="A659" s="6">
        <v>2025.0</v>
      </c>
      <c r="B659" s="6" t="s">
        <v>160</v>
      </c>
      <c r="C659" s="1" t="s">
        <v>205</v>
      </c>
      <c r="F659" s="6" t="s">
        <v>213</v>
      </c>
      <c r="H659" s="6" t="s">
        <v>438</v>
      </c>
      <c r="J659" s="3">
        <v>1076.0</v>
      </c>
      <c r="M659" s="6">
        <v>32580.0</v>
      </c>
      <c r="O659" s="7">
        <f t="shared" si="58"/>
        <v>35056.08</v>
      </c>
      <c r="R659" s="3"/>
    </row>
    <row r="660">
      <c r="A660" s="6">
        <v>2025.0</v>
      </c>
      <c r="B660" s="6" t="s">
        <v>160</v>
      </c>
      <c r="C660" s="1" t="s">
        <v>205</v>
      </c>
      <c r="F660" s="6" t="s">
        <v>213</v>
      </c>
      <c r="H660" s="6" t="s">
        <v>420</v>
      </c>
      <c r="J660" s="3">
        <v>508.0</v>
      </c>
      <c r="M660" s="6">
        <v>26980.0</v>
      </c>
      <c r="O660" s="7">
        <f t="shared" si="58"/>
        <v>13705.84</v>
      </c>
      <c r="R660" s="3"/>
    </row>
    <row r="661">
      <c r="A661" s="6">
        <v>2025.0</v>
      </c>
      <c r="B661" s="6" t="s">
        <v>160</v>
      </c>
      <c r="C661" s="1" t="s">
        <v>205</v>
      </c>
      <c r="F661" s="6" t="s">
        <v>213</v>
      </c>
      <c r="H661" s="6" t="s">
        <v>418</v>
      </c>
      <c r="J661" s="3">
        <v>1044.0</v>
      </c>
      <c r="M661" s="6">
        <v>7980.0</v>
      </c>
      <c r="O661" s="7">
        <f t="shared" si="58"/>
        <v>8331.12</v>
      </c>
      <c r="R661" s="3"/>
    </row>
    <row r="662">
      <c r="A662" s="6">
        <v>2025.0</v>
      </c>
      <c r="B662" s="6" t="s">
        <v>160</v>
      </c>
      <c r="C662" s="1" t="s">
        <v>205</v>
      </c>
      <c r="F662" s="6" t="s">
        <v>213</v>
      </c>
      <c r="H662" s="6" t="s">
        <v>400</v>
      </c>
      <c r="J662" s="3">
        <v>2950.0</v>
      </c>
      <c r="M662" s="6">
        <v>10980.0</v>
      </c>
      <c r="O662" s="7">
        <f t="shared" si="58"/>
        <v>32391</v>
      </c>
      <c r="R662" s="3"/>
    </row>
    <row r="663">
      <c r="A663" s="6">
        <v>2025.0</v>
      </c>
      <c r="B663" s="6" t="s">
        <v>160</v>
      </c>
      <c r="C663" s="1" t="s">
        <v>205</v>
      </c>
      <c r="F663" s="6" t="s">
        <v>213</v>
      </c>
      <c r="H663" s="6" t="s">
        <v>430</v>
      </c>
      <c r="J663" s="3">
        <v>1505.0</v>
      </c>
      <c r="M663" s="6">
        <v>11980.0</v>
      </c>
      <c r="O663" s="7">
        <f t="shared" si="58"/>
        <v>18029.9</v>
      </c>
      <c r="R663" s="3"/>
    </row>
    <row r="664">
      <c r="A664" s="6">
        <v>2025.0</v>
      </c>
      <c r="B664" s="6" t="s">
        <v>160</v>
      </c>
      <c r="C664" s="1" t="s">
        <v>205</v>
      </c>
      <c r="F664" s="6" t="s">
        <v>213</v>
      </c>
      <c r="H664" s="6" t="s">
        <v>412</v>
      </c>
      <c r="J664" s="3">
        <v>2970.0</v>
      </c>
      <c r="M664" s="6">
        <v>1180.0</v>
      </c>
      <c r="O664" s="7">
        <f t="shared" si="58"/>
        <v>3504.6</v>
      </c>
      <c r="R664" s="3"/>
    </row>
    <row r="665">
      <c r="A665" s="6">
        <v>2025.0</v>
      </c>
      <c r="B665" s="6" t="s">
        <v>160</v>
      </c>
      <c r="C665" s="1" t="s">
        <v>205</v>
      </c>
      <c r="F665" s="6" t="s">
        <v>213</v>
      </c>
      <c r="H665" s="6" t="s">
        <v>423</v>
      </c>
      <c r="J665" s="3">
        <v>3720.0</v>
      </c>
      <c r="M665" s="6">
        <v>3780.0</v>
      </c>
      <c r="O665" s="7">
        <f t="shared" si="58"/>
        <v>14061.6</v>
      </c>
      <c r="R665" s="3"/>
    </row>
    <row r="666">
      <c r="A666" s="6">
        <v>2025.0</v>
      </c>
      <c r="B666" s="6" t="s">
        <v>160</v>
      </c>
      <c r="C666" s="1" t="s">
        <v>205</v>
      </c>
      <c r="F666" s="6" t="s">
        <v>213</v>
      </c>
      <c r="H666" s="6" t="s">
        <v>388</v>
      </c>
      <c r="J666" s="3">
        <v>2030.0</v>
      </c>
      <c r="M666" s="6">
        <v>3980.0</v>
      </c>
      <c r="O666" s="7">
        <f t="shared" si="58"/>
        <v>8079.4</v>
      </c>
      <c r="R666" s="3"/>
    </row>
    <row r="667">
      <c r="A667" s="6">
        <v>2025.0</v>
      </c>
      <c r="B667" s="6" t="s">
        <v>160</v>
      </c>
      <c r="C667" s="1" t="s">
        <v>205</v>
      </c>
      <c r="F667" s="6" t="s">
        <v>213</v>
      </c>
      <c r="H667" s="6" t="s">
        <v>384</v>
      </c>
      <c r="J667" s="3">
        <v>950.0</v>
      </c>
      <c r="M667" s="6">
        <v>8380.0</v>
      </c>
      <c r="O667" s="7">
        <f t="shared" si="58"/>
        <v>7961</v>
      </c>
      <c r="R667" s="3"/>
    </row>
    <row r="668">
      <c r="A668" s="6">
        <v>2025.0</v>
      </c>
      <c r="B668" s="6" t="s">
        <v>160</v>
      </c>
      <c r="C668" s="1" t="s">
        <v>205</v>
      </c>
      <c r="F668" s="6" t="s">
        <v>213</v>
      </c>
      <c r="H668" s="6" t="s">
        <v>447</v>
      </c>
      <c r="J668" s="3">
        <v>890.0</v>
      </c>
      <c r="M668" s="6">
        <v>3180.0</v>
      </c>
      <c r="O668" s="7">
        <f t="shared" si="58"/>
        <v>2830.2</v>
      </c>
      <c r="R668" s="3"/>
    </row>
    <row r="669">
      <c r="A669" s="6">
        <v>2025.0</v>
      </c>
      <c r="B669" s="6" t="s">
        <v>160</v>
      </c>
      <c r="C669" s="1" t="s">
        <v>205</v>
      </c>
      <c r="F669" s="6" t="s">
        <v>213</v>
      </c>
      <c r="H669" s="6" t="s">
        <v>379</v>
      </c>
      <c r="J669" s="3">
        <v>2440.0</v>
      </c>
      <c r="M669" s="6">
        <v>3180.0</v>
      </c>
      <c r="O669" s="7">
        <f t="shared" si="58"/>
        <v>7759.2</v>
      </c>
      <c r="R669" s="3"/>
    </row>
    <row r="670">
      <c r="A670" s="6">
        <v>2025.0</v>
      </c>
      <c r="B670" s="6" t="s">
        <v>160</v>
      </c>
      <c r="C670" s="1" t="s">
        <v>205</v>
      </c>
      <c r="F670" s="6" t="s">
        <v>213</v>
      </c>
      <c r="H670" s="6" t="s">
        <v>390</v>
      </c>
      <c r="J670" s="3">
        <v>530.0</v>
      </c>
      <c r="M670" s="6">
        <v>4180.0</v>
      </c>
      <c r="O670" s="7">
        <f t="shared" si="58"/>
        <v>2215.4</v>
      </c>
      <c r="R670" s="3"/>
    </row>
    <row r="671">
      <c r="A671" s="6">
        <v>2025.0</v>
      </c>
      <c r="B671" s="6" t="s">
        <v>160</v>
      </c>
      <c r="C671" s="1" t="s">
        <v>205</v>
      </c>
      <c r="F671" s="6" t="s">
        <v>213</v>
      </c>
      <c r="H671" s="6" t="s">
        <v>387</v>
      </c>
      <c r="J671" s="3">
        <v>1215.0</v>
      </c>
      <c r="M671" s="6">
        <v>1580.0</v>
      </c>
      <c r="O671" s="7">
        <f t="shared" si="58"/>
        <v>1919.7</v>
      </c>
      <c r="R671" s="3"/>
    </row>
    <row r="672">
      <c r="A672" s="6">
        <v>2025.0</v>
      </c>
      <c r="B672" s="6" t="s">
        <v>160</v>
      </c>
      <c r="C672" s="1" t="s">
        <v>205</v>
      </c>
      <c r="F672" s="6" t="s">
        <v>213</v>
      </c>
      <c r="H672" s="6" t="s">
        <v>380</v>
      </c>
      <c r="J672" s="3">
        <v>755.0</v>
      </c>
      <c r="M672" s="6">
        <v>2980.0</v>
      </c>
      <c r="O672" s="7">
        <f t="shared" si="58"/>
        <v>2249.9</v>
      </c>
      <c r="R672" s="3"/>
    </row>
    <row r="673">
      <c r="A673" s="6">
        <v>2025.0</v>
      </c>
      <c r="B673" s="6" t="s">
        <v>160</v>
      </c>
      <c r="C673" s="1" t="s">
        <v>205</v>
      </c>
      <c r="F673" s="6" t="s">
        <v>213</v>
      </c>
      <c r="H673" s="6" t="s">
        <v>390</v>
      </c>
      <c r="J673" s="3">
        <v>695.0</v>
      </c>
      <c r="M673" s="6">
        <v>4180.0</v>
      </c>
      <c r="O673" s="7">
        <f t="shared" si="58"/>
        <v>2905.1</v>
      </c>
      <c r="R673" s="3"/>
    </row>
    <row r="674">
      <c r="A674" s="6">
        <v>2025.0</v>
      </c>
      <c r="B674" s="6" t="s">
        <v>160</v>
      </c>
      <c r="C674" s="1" t="s">
        <v>205</v>
      </c>
      <c r="F674" s="6" t="s">
        <v>213</v>
      </c>
      <c r="H674" s="6" t="s">
        <v>377</v>
      </c>
      <c r="J674" s="3">
        <v>1040.0</v>
      </c>
      <c r="M674" s="6">
        <v>2780.0</v>
      </c>
      <c r="O674" s="7">
        <f t="shared" si="58"/>
        <v>2891.2</v>
      </c>
      <c r="R674" s="3"/>
    </row>
    <row r="675">
      <c r="A675" s="6">
        <v>2025.0</v>
      </c>
      <c r="B675" s="6" t="s">
        <v>160</v>
      </c>
      <c r="C675" s="1" t="s">
        <v>205</v>
      </c>
      <c r="F675" s="6" t="s">
        <v>213</v>
      </c>
      <c r="H675" s="6" t="s">
        <v>387</v>
      </c>
      <c r="J675" s="3">
        <v>1055.0</v>
      </c>
      <c r="M675" s="6">
        <v>1580.0</v>
      </c>
      <c r="O675" s="7">
        <f t="shared" si="58"/>
        <v>1666.9</v>
      </c>
      <c r="R675" s="3"/>
    </row>
    <row r="676">
      <c r="A676" s="6">
        <v>2025.0</v>
      </c>
      <c r="B676" s="6" t="s">
        <v>160</v>
      </c>
      <c r="C676" s="1" t="s">
        <v>205</v>
      </c>
      <c r="F676" s="6" t="s">
        <v>213</v>
      </c>
      <c r="H676" s="6" t="s">
        <v>448</v>
      </c>
      <c r="J676" s="3">
        <v>530.0</v>
      </c>
      <c r="M676" s="6">
        <v>5780.0</v>
      </c>
      <c r="O676" s="7">
        <f t="shared" si="58"/>
        <v>3063.4</v>
      </c>
      <c r="R676" s="3"/>
    </row>
    <row r="677">
      <c r="A677" s="6">
        <v>2025.0</v>
      </c>
      <c r="B677" s="6" t="s">
        <v>160</v>
      </c>
      <c r="C677" s="1" t="s">
        <v>205</v>
      </c>
      <c r="F677" s="6" t="s">
        <v>213</v>
      </c>
      <c r="H677" s="6" t="s">
        <v>435</v>
      </c>
      <c r="J677" s="3">
        <v>240.0</v>
      </c>
      <c r="M677" s="6">
        <v>5980.0</v>
      </c>
      <c r="O677" s="7">
        <f t="shared" si="58"/>
        <v>1435.2</v>
      </c>
      <c r="R677" s="3"/>
    </row>
    <row r="678">
      <c r="A678" s="6">
        <v>2025.0</v>
      </c>
      <c r="B678" s="6" t="s">
        <v>160</v>
      </c>
      <c r="C678" s="1" t="s">
        <v>205</v>
      </c>
      <c r="F678" s="6" t="s">
        <v>213</v>
      </c>
      <c r="H678" s="6" t="s">
        <v>386</v>
      </c>
      <c r="J678" s="3">
        <v>3340.0</v>
      </c>
      <c r="M678" s="6">
        <v>5780.0</v>
      </c>
      <c r="O678" s="7">
        <f t="shared" si="58"/>
        <v>19305.2</v>
      </c>
      <c r="R678" s="3"/>
    </row>
    <row r="679">
      <c r="A679" s="6">
        <v>2025.0</v>
      </c>
      <c r="B679" s="6" t="s">
        <v>160</v>
      </c>
      <c r="C679" s="1" t="s">
        <v>205</v>
      </c>
      <c r="F679" s="6" t="s">
        <v>213</v>
      </c>
      <c r="H679" s="6" t="s">
        <v>395</v>
      </c>
      <c r="L679" s="6">
        <v>1.0</v>
      </c>
      <c r="M679" s="6">
        <v>3550.0</v>
      </c>
      <c r="O679" s="7">
        <f t="shared" ref="O679:O687" si="59">M679*L679</f>
        <v>3550</v>
      </c>
      <c r="R679" s="3"/>
    </row>
    <row r="680">
      <c r="A680" s="6">
        <v>2025.0</v>
      </c>
      <c r="B680" s="6" t="s">
        <v>160</v>
      </c>
      <c r="C680" s="1" t="s">
        <v>205</v>
      </c>
      <c r="F680" s="6" t="s">
        <v>213</v>
      </c>
      <c r="H680" s="6" t="s">
        <v>425</v>
      </c>
      <c r="L680" s="6">
        <v>1.0</v>
      </c>
      <c r="M680" s="6">
        <v>1990.0</v>
      </c>
      <c r="O680" s="7">
        <f t="shared" si="59"/>
        <v>1990</v>
      </c>
    </row>
    <row r="681">
      <c r="A681" s="6">
        <v>2025.0</v>
      </c>
      <c r="B681" s="6" t="s">
        <v>160</v>
      </c>
      <c r="C681" s="1" t="s">
        <v>205</v>
      </c>
      <c r="F681" s="6" t="s">
        <v>213</v>
      </c>
      <c r="H681" s="6" t="s">
        <v>396</v>
      </c>
      <c r="L681" s="6">
        <v>1.0</v>
      </c>
      <c r="M681" s="6">
        <v>4390.0</v>
      </c>
      <c r="O681" s="7">
        <f t="shared" si="59"/>
        <v>4390</v>
      </c>
    </row>
    <row r="682">
      <c r="A682" s="6">
        <v>2025.0</v>
      </c>
      <c r="B682" s="6" t="s">
        <v>160</v>
      </c>
      <c r="C682" s="1" t="s">
        <v>205</v>
      </c>
      <c r="F682" s="6" t="s">
        <v>213</v>
      </c>
      <c r="H682" s="6" t="s">
        <v>397</v>
      </c>
      <c r="L682" s="6">
        <v>1.0</v>
      </c>
      <c r="M682" s="6">
        <v>1990.0</v>
      </c>
      <c r="O682" s="7">
        <f t="shared" si="59"/>
        <v>1990</v>
      </c>
    </row>
    <row r="683">
      <c r="A683" s="6">
        <v>2025.0</v>
      </c>
      <c r="B683" s="6" t="s">
        <v>160</v>
      </c>
      <c r="C683" s="1" t="s">
        <v>205</v>
      </c>
      <c r="F683" s="6" t="s">
        <v>213</v>
      </c>
      <c r="H683" s="6" t="s">
        <v>394</v>
      </c>
      <c r="L683" s="6">
        <v>1.0</v>
      </c>
      <c r="M683" s="6">
        <v>18750.0</v>
      </c>
      <c r="O683" s="7">
        <f t="shared" si="59"/>
        <v>18750</v>
      </c>
    </row>
    <row r="684">
      <c r="A684" s="6">
        <v>2025.0</v>
      </c>
      <c r="B684" s="6" t="s">
        <v>160</v>
      </c>
      <c r="C684" s="1" t="s">
        <v>205</v>
      </c>
      <c r="F684" s="6" t="s">
        <v>213</v>
      </c>
      <c r="H684" s="6" t="s">
        <v>391</v>
      </c>
      <c r="L684" s="6">
        <v>1.0</v>
      </c>
      <c r="M684" s="6">
        <v>7200.0</v>
      </c>
      <c r="O684" s="7">
        <f t="shared" si="59"/>
        <v>7200</v>
      </c>
    </row>
    <row r="685">
      <c r="A685" s="6">
        <v>2025.0</v>
      </c>
      <c r="B685" s="6" t="s">
        <v>160</v>
      </c>
      <c r="C685" s="1" t="s">
        <v>205</v>
      </c>
      <c r="F685" s="6" t="s">
        <v>213</v>
      </c>
      <c r="H685" s="6" t="s">
        <v>449</v>
      </c>
      <c r="L685" s="6">
        <v>1.0</v>
      </c>
      <c r="M685" s="6">
        <v>8850.0</v>
      </c>
      <c r="O685" s="7">
        <f t="shared" si="59"/>
        <v>8850</v>
      </c>
    </row>
    <row r="686">
      <c r="A686" s="6">
        <v>2025.0</v>
      </c>
      <c r="B686" s="6" t="s">
        <v>160</v>
      </c>
      <c r="C686" s="1" t="s">
        <v>205</v>
      </c>
      <c r="F686" s="6" t="s">
        <v>213</v>
      </c>
      <c r="H686" s="6" t="s">
        <v>450</v>
      </c>
      <c r="L686" s="6">
        <v>1.0</v>
      </c>
      <c r="M686" s="6">
        <v>22850.0</v>
      </c>
      <c r="O686" s="7">
        <f t="shared" si="59"/>
        <v>22850</v>
      </c>
    </row>
    <row r="687">
      <c r="A687" s="6">
        <v>2025.0</v>
      </c>
      <c r="B687" s="6" t="s">
        <v>160</v>
      </c>
      <c r="C687" s="1" t="s">
        <v>205</v>
      </c>
      <c r="F687" s="6" t="s">
        <v>213</v>
      </c>
      <c r="H687" s="6" t="s">
        <v>446</v>
      </c>
      <c r="L687" s="6">
        <v>1.0</v>
      </c>
      <c r="M687" s="6">
        <v>12950.0</v>
      </c>
      <c r="O687" s="7">
        <f t="shared" si="59"/>
        <v>12950</v>
      </c>
    </row>
    <row r="688">
      <c r="A688" s="24" t="s">
        <v>204</v>
      </c>
      <c r="B688" s="24"/>
      <c r="C688" s="24"/>
      <c r="D688" s="24"/>
      <c r="E688" s="24"/>
      <c r="F688" s="25"/>
      <c r="G688" s="25"/>
      <c r="H688" s="25"/>
      <c r="I688" s="25"/>
      <c r="J688" s="25"/>
      <c r="K688" s="25"/>
      <c r="L688" s="25"/>
      <c r="M688" s="25"/>
      <c r="N688" s="28" t="str">
        <f>CHANGE(O635,O688)</f>
        <v>#NAME?</v>
      </c>
      <c r="O688" s="26">
        <f>SUM(O656:O687)</f>
        <v>327630.7</v>
      </c>
    </row>
    <row r="689">
      <c r="A689" s="6">
        <v>2025.0</v>
      </c>
      <c r="B689" s="6" t="s">
        <v>160</v>
      </c>
      <c r="C689" s="1" t="s">
        <v>284</v>
      </c>
      <c r="F689" s="6" t="s">
        <v>213</v>
      </c>
      <c r="H689" s="6" t="s">
        <v>448</v>
      </c>
      <c r="J689" s="3">
        <v>480.0</v>
      </c>
      <c r="M689" s="6">
        <v>4000.0</v>
      </c>
      <c r="O689" s="7">
        <f t="shared" ref="O689:O695" si="60">M689*J689/1000</f>
        <v>1920</v>
      </c>
      <c r="R689" s="3"/>
    </row>
    <row r="690">
      <c r="A690" s="6">
        <v>2025.0</v>
      </c>
      <c r="B690" s="6" t="s">
        <v>160</v>
      </c>
      <c r="C690" s="1" t="s">
        <v>284</v>
      </c>
      <c r="F690" s="6" t="s">
        <v>213</v>
      </c>
      <c r="H690" s="6" t="s">
        <v>380</v>
      </c>
      <c r="J690" s="3">
        <v>860.0</v>
      </c>
      <c r="M690" s="6">
        <v>4980.0</v>
      </c>
      <c r="O690" s="7">
        <f t="shared" si="60"/>
        <v>4282.8</v>
      </c>
      <c r="R690" s="3"/>
    </row>
    <row r="691">
      <c r="A691" s="6">
        <v>2025.0</v>
      </c>
      <c r="B691" s="6" t="s">
        <v>160</v>
      </c>
      <c r="C691" s="1" t="s">
        <v>284</v>
      </c>
      <c r="F691" s="6" t="s">
        <v>213</v>
      </c>
      <c r="H691" s="6" t="s">
        <v>386</v>
      </c>
      <c r="J691" s="3">
        <v>760.0</v>
      </c>
      <c r="M691" s="6">
        <v>5580.0</v>
      </c>
      <c r="O691" s="7">
        <f t="shared" si="60"/>
        <v>4240.8</v>
      </c>
      <c r="R691" s="3"/>
    </row>
    <row r="692">
      <c r="A692" s="6">
        <v>2025.0</v>
      </c>
      <c r="B692" s="6" t="s">
        <v>160</v>
      </c>
      <c r="C692" s="1" t="s">
        <v>284</v>
      </c>
      <c r="F692" s="6" t="s">
        <v>213</v>
      </c>
      <c r="H692" s="6" t="s">
        <v>447</v>
      </c>
      <c r="J692" s="3">
        <v>1030.0</v>
      </c>
      <c r="M692" s="6">
        <v>3300.0</v>
      </c>
      <c r="O692" s="7">
        <f t="shared" si="60"/>
        <v>3399</v>
      </c>
      <c r="R692" s="3"/>
    </row>
    <row r="693">
      <c r="A693" s="6">
        <v>2025.0</v>
      </c>
      <c r="B693" s="6" t="s">
        <v>160</v>
      </c>
      <c r="C693" s="1" t="s">
        <v>284</v>
      </c>
      <c r="F693" s="6" t="s">
        <v>213</v>
      </c>
      <c r="H693" s="6" t="s">
        <v>384</v>
      </c>
      <c r="J693" s="3">
        <v>370.0</v>
      </c>
      <c r="M693" s="6">
        <v>7580.0</v>
      </c>
      <c r="O693" s="7">
        <f t="shared" si="60"/>
        <v>2804.6</v>
      </c>
      <c r="R693" s="3"/>
    </row>
    <row r="694">
      <c r="A694" s="6">
        <v>2025.0</v>
      </c>
      <c r="B694" s="6" t="s">
        <v>160</v>
      </c>
      <c r="C694" s="1" t="s">
        <v>284</v>
      </c>
      <c r="F694" s="6" t="s">
        <v>213</v>
      </c>
      <c r="H694" s="6" t="s">
        <v>379</v>
      </c>
      <c r="J694" s="3">
        <v>2210.0</v>
      </c>
      <c r="M694" s="6">
        <v>2380.0</v>
      </c>
      <c r="O694" s="7">
        <f t="shared" si="60"/>
        <v>5259.8</v>
      </c>
      <c r="R694" s="3"/>
    </row>
    <row r="695">
      <c r="A695" s="6">
        <v>2025.0</v>
      </c>
      <c r="B695" s="6" t="s">
        <v>160</v>
      </c>
      <c r="C695" s="1" t="s">
        <v>284</v>
      </c>
      <c r="F695" s="6" t="s">
        <v>213</v>
      </c>
      <c r="H695" s="6" t="s">
        <v>435</v>
      </c>
      <c r="J695" s="3">
        <v>240.0</v>
      </c>
      <c r="M695" s="6">
        <v>5780.0</v>
      </c>
      <c r="O695" s="7">
        <f t="shared" si="60"/>
        <v>1387.2</v>
      </c>
      <c r="R695" s="3"/>
    </row>
    <row r="696">
      <c r="A696" s="6">
        <v>2025.0</v>
      </c>
      <c r="B696" s="6" t="s">
        <v>160</v>
      </c>
      <c r="C696" s="1" t="s">
        <v>284</v>
      </c>
      <c r="F696" s="6" t="s">
        <v>213</v>
      </c>
      <c r="H696" s="6" t="s">
        <v>451</v>
      </c>
      <c r="L696" s="6">
        <v>1.0</v>
      </c>
      <c r="M696" s="6">
        <v>8990.0</v>
      </c>
      <c r="O696" s="7">
        <f t="shared" ref="O696:O705" si="61">M696*L696</f>
        <v>8990</v>
      </c>
    </row>
    <row r="697">
      <c r="A697" s="6">
        <v>2025.0</v>
      </c>
      <c r="B697" s="6" t="s">
        <v>160</v>
      </c>
      <c r="C697" s="1" t="s">
        <v>284</v>
      </c>
      <c r="F697" s="6" t="s">
        <v>213</v>
      </c>
      <c r="H697" s="6" t="s">
        <v>452</v>
      </c>
      <c r="L697" s="6">
        <v>1.0</v>
      </c>
      <c r="M697" s="6">
        <v>2190.0</v>
      </c>
      <c r="O697" s="7">
        <f t="shared" si="61"/>
        <v>2190</v>
      </c>
    </row>
    <row r="698">
      <c r="A698" s="6">
        <v>2025.0</v>
      </c>
      <c r="B698" s="6" t="s">
        <v>160</v>
      </c>
      <c r="C698" s="1" t="s">
        <v>284</v>
      </c>
      <c r="F698" s="6" t="s">
        <v>213</v>
      </c>
      <c r="H698" s="6" t="s">
        <v>394</v>
      </c>
      <c r="L698" s="6">
        <v>1.0</v>
      </c>
      <c r="M698" s="6">
        <v>18500.0</v>
      </c>
      <c r="O698" s="7">
        <f t="shared" si="61"/>
        <v>18500</v>
      </c>
    </row>
    <row r="699">
      <c r="A699" s="6">
        <v>2025.0</v>
      </c>
      <c r="B699" s="6" t="s">
        <v>160</v>
      </c>
      <c r="C699" s="1" t="s">
        <v>284</v>
      </c>
      <c r="F699" s="6" t="s">
        <v>213</v>
      </c>
      <c r="H699" s="6" t="s">
        <v>396</v>
      </c>
      <c r="L699" s="6">
        <v>1.0</v>
      </c>
      <c r="M699" s="6">
        <v>4390.0</v>
      </c>
      <c r="O699" s="7">
        <f t="shared" si="61"/>
        <v>4390</v>
      </c>
    </row>
    <row r="700">
      <c r="A700" s="6">
        <v>2025.0</v>
      </c>
      <c r="B700" s="6" t="s">
        <v>160</v>
      </c>
      <c r="C700" s="1" t="s">
        <v>284</v>
      </c>
      <c r="F700" s="6" t="s">
        <v>213</v>
      </c>
      <c r="H700" s="6" t="s">
        <v>411</v>
      </c>
      <c r="L700" s="6">
        <v>1.0</v>
      </c>
      <c r="M700" s="6">
        <v>2890.0</v>
      </c>
      <c r="O700" s="7">
        <f t="shared" si="61"/>
        <v>2890</v>
      </c>
    </row>
    <row r="701">
      <c r="A701" s="6">
        <v>2025.0</v>
      </c>
      <c r="B701" s="6" t="s">
        <v>160</v>
      </c>
      <c r="C701" s="1" t="s">
        <v>284</v>
      </c>
      <c r="F701" s="6" t="s">
        <v>213</v>
      </c>
      <c r="H701" s="6" t="s">
        <v>410</v>
      </c>
      <c r="L701" s="6">
        <v>1.0</v>
      </c>
      <c r="M701" s="6">
        <v>3380.0</v>
      </c>
      <c r="O701" s="7">
        <f t="shared" si="61"/>
        <v>3380</v>
      </c>
    </row>
    <row r="702">
      <c r="A702" s="6">
        <v>2025.0</v>
      </c>
      <c r="B702" s="6" t="s">
        <v>160</v>
      </c>
      <c r="C702" s="1" t="s">
        <v>284</v>
      </c>
      <c r="F702" s="6" t="s">
        <v>213</v>
      </c>
      <c r="H702" s="6" t="s">
        <v>453</v>
      </c>
      <c r="L702" s="6">
        <v>1.0</v>
      </c>
      <c r="M702" s="6">
        <v>27500.0</v>
      </c>
      <c r="O702" s="7">
        <f t="shared" si="61"/>
        <v>27500</v>
      </c>
    </row>
    <row r="703">
      <c r="A703" s="6">
        <v>2025.0</v>
      </c>
      <c r="B703" s="6" t="s">
        <v>160</v>
      </c>
      <c r="C703" s="1" t="s">
        <v>284</v>
      </c>
      <c r="F703" s="6" t="s">
        <v>213</v>
      </c>
      <c r="H703" s="6" t="s">
        <v>391</v>
      </c>
      <c r="L703" s="6">
        <v>1.0</v>
      </c>
      <c r="M703" s="6">
        <v>7200.0</v>
      </c>
      <c r="O703" s="7">
        <f t="shared" si="61"/>
        <v>7200</v>
      </c>
    </row>
    <row r="704">
      <c r="A704" s="6">
        <v>2025.0</v>
      </c>
      <c r="B704" s="6" t="s">
        <v>160</v>
      </c>
      <c r="C704" s="1" t="s">
        <v>284</v>
      </c>
      <c r="F704" s="6" t="s">
        <v>213</v>
      </c>
      <c r="H704" s="6" t="s">
        <v>454</v>
      </c>
      <c r="L704" s="6">
        <v>1.0</v>
      </c>
      <c r="M704" s="6">
        <v>2650.0</v>
      </c>
      <c r="O704" s="7">
        <f t="shared" si="61"/>
        <v>2650</v>
      </c>
    </row>
    <row r="705">
      <c r="A705" s="6">
        <v>2025.0</v>
      </c>
      <c r="B705" s="6" t="s">
        <v>160</v>
      </c>
      <c r="C705" s="1" t="s">
        <v>284</v>
      </c>
      <c r="F705" s="6" t="s">
        <v>213</v>
      </c>
      <c r="H705" s="6" t="s">
        <v>392</v>
      </c>
      <c r="L705" s="6">
        <v>1.0</v>
      </c>
      <c r="M705" s="6">
        <v>1500.0</v>
      </c>
      <c r="O705" s="7">
        <f t="shared" si="61"/>
        <v>1500</v>
      </c>
    </row>
    <row r="706">
      <c r="A706" s="6">
        <v>2025.0</v>
      </c>
      <c r="B706" s="6" t="s">
        <v>160</v>
      </c>
      <c r="C706" s="1" t="s">
        <v>284</v>
      </c>
      <c r="F706" s="6" t="s">
        <v>213</v>
      </c>
      <c r="H706" s="6" t="s">
        <v>419</v>
      </c>
      <c r="J706" s="3">
        <v>772.0</v>
      </c>
      <c r="M706" s="6">
        <v>16780.0</v>
      </c>
      <c r="O706" s="7">
        <f t="shared" ref="O706:O722" si="62">M706*J706/1000</f>
        <v>12954.16</v>
      </c>
      <c r="R706" s="3"/>
    </row>
    <row r="707">
      <c r="A707" s="6">
        <v>2025.0</v>
      </c>
      <c r="B707" s="6" t="s">
        <v>160</v>
      </c>
      <c r="C707" s="1" t="s">
        <v>284</v>
      </c>
      <c r="F707" s="6" t="s">
        <v>213</v>
      </c>
      <c r="H707" s="6" t="s">
        <v>438</v>
      </c>
      <c r="J707" s="3">
        <v>838.0</v>
      </c>
      <c r="M707" s="6">
        <v>32580.0</v>
      </c>
      <c r="O707" s="7">
        <f t="shared" si="62"/>
        <v>27302.04</v>
      </c>
      <c r="R707" s="3"/>
    </row>
    <row r="708">
      <c r="A708" s="6">
        <v>2025.0</v>
      </c>
      <c r="B708" s="6" t="s">
        <v>160</v>
      </c>
      <c r="C708" s="1" t="s">
        <v>284</v>
      </c>
      <c r="F708" s="6" t="s">
        <v>213</v>
      </c>
      <c r="H708" s="6" t="s">
        <v>420</v>
      </c>
      <c r="J708" s="3">
        <v>1274.0</v>
      </c>
      <c r="M708" s="6">
        <v>26980.0</v>
      </c>
      <c r="O708" s="7">
        <f t="shared" si="62"/>
        <v>34372.52</v>
      </c>
      <c r="R708" s="3"/>
    </row>
    <row r="709">
      <c r="A709" s="6">
        <v>2025.0</v>
      </c>
      <c r="B709" s="6" t="s">
        <v>160</v>
      </c>
      <c r="C709" s="1" t="s">
        <v>284</v>
      </c>
      <c r="F709" s="6" t="s">
        <v>213</v>
      </c>
      <c r="H709" s="6" t="s">
        <v>403</v>
      </c>
      <c r="J709" s="3">
        <v>806.0</v>
      </c>
      <c r="M709" s="6">
        <v>18980.0</v>
      </c>
      <c r="O709" s="7">
        <f t="shared" si="62"/>
        <v>15297.88</v>
      </c>
      <c r="R709" s="3"/>
    </row>
    <row r="710">
      <c r="A710" s="6">
        <v>2025.0</v>
      </c>
      <c r="B710" s="6" t="s">
        <v>160</v>
      </c>
      <c r="C710" s="1" t="s">
        <v>284</v>
      </c>
      <c r="F710" s="6" t="s">
        <v>213</v>
      </c>
      <c r="H710" s="6" t="s">
        <v>414</v>
      </c>
      <c r="J710" s="3">
        <v>878.0</v>
      </c>
      <c r="M710" s="6">
        <v>26380.0</v>
      </c>
      <c r="O710" s="7">
        <f t="shared" si="62"/>
        <v>23161.64</v>
      </c>
      <c r="R710" s="3"/>
    </row>
    <row r="711">
      <c r="A711" s="6">
        <v>2025.0</v>
      </c>
      <c r="B711" s="6" t="s">
        <v>160</v>
      </c>
      <c r="C711" s="1" t="s">
        <v>284</v>
      </c>
      <c r="F711" s="6" t="s">
        <v>213</v>
      </c>
      <c r="H711" s="6" t="s">
        <v>429</v>
      </c>
      <c r="J711" s="3">
        <v>946.0</v>
      </c>
      <c r="M711" s="6">
        <v>16980.0</v>
      </c>
      <c r="O711" s="7">
        <f t="shared" si="62"/>
        <v>16063.08</v>
      </c>
      <c r="R711" s="3"/>
    </row>
    <row r="712">
      <c r="A712" s="6">
        <v>2025.0</v>
      </c>
      <c r="B712" s="6" t="s">
        <v>160</v>
      </c>
      <c r="C712" s="1" t="s">
        <v>284</v>
      </c>
      <c r="F712" s="6" t="s">
        <v>213</v>
      </c>
      <c r="H712" s="6" t="s">
        <v>400</v>
      </c>
      <c r="J712" s="3">
        <v>3310.0</v>
      </c>
      <c r="M712" s="6">
        <v>7900.0</v>
      </c>
      <c r="O712" s="7">
        <f t="shared" si="62"/>
        <v>26149</v>
      </c>
      <c r="R712" s="3"/>
    </row>
    <row r="713">
      <c r="A713" s="6">
        <v>2025.0</v>
      </c>
      <c r="B713" s="6" t="s">
        <v>160</v>
      </c>
      <c r="C713" s="1" t="s">
        <v>284</v>
      </c>
      <c r="F713" s="6" t="s">
        <v>213</v>
      </c>
      <c r="H713" s="6" t="s">
        <v>377</v>
      </c>
      <c r="J713" s="3">
        <v>1090.0</v>
      </c>
      <c r="M713" s="6">
        <v>2780.0</v>
      </c>
      <c r="O713" s="7">
        <f t="shared" si="62"/>
        <v>3030.2</v>
      </c>
      <c r="R713" s="3"/>
    </row>
    <row r="714">
      <c r="A714" s="6">
        <v>2025.0</v>
      </c>
      <c r="B714" s="6" t="s">
        <v>160</v>
      </c>
      <c r="C714" s="1" t="s">
        <v>284</v>
      </c>
      <c r="F714" s="6" t="s">
        <v>213</v>
      </c>
      <c r="H714" s="6" t="s">
        <v>387</v>
      </c>
      <c r="J714" s="3">
        <v>1170.0</v>
      </c>
      <c r="M714" s="6">
        <v>1980.0</v>
      </c>
      <c r="O714" s="7">
        <f t="shared" si="62"/>
        <v>2316.6</v>
      </c>
      <c r="R714" s="3"/>
    </row>
    <row r="715">
      <c r="A715" s="6">
        <v>2025.0</v>
      </c>
      <c r="B715" s="6" t="s">
        <v>160</v>
      </c>
      <c r="C715" s="1" t="s">
        <v>284</v>
      </c>
      <c r="F715" s="6" t="s">
        <v>213</v>
      </c>
      <c r="H715" s="6" t="s">
        <v>387</v>
      </c>
      <c r="J715" s="3">
        <v>550.0</v>
      </c>
      <c r="M715" s="6">
        <v>1980.0</v>
      </c>
      <c r="O715" s="7">
        <f t="shared" si="62"/>
        <v>1089</v>
      </c>
      <c r="R715" s="3"/>
    </row>
    <row r="716">
      <c r="A716" s="6">
        <v>2025.0</v>
      </c>
      <c r="B716" s="6" t="s">
        <v>160</v>
      </c>
      <c r="C716" s="1" t="s">
        <v>284</v>
      </c>
      <c r="F716" s="6" t="s">
        <v>213</v>
      </c>
      <c r="H716" s="6" t="s">
        <v>390</v>
      </c>
      <c r="J716" s="3">
        <v>1140.0</v>
      </c>
      <c r="M716" s="6">
        <v>4580.0</v>
      </c>
      <c r="O716" s="7">
        <f t="shared" si="62"/>
        <v>5221.2</v>
      </c>
      <c r="R716" s="3"/>
    </row>
    <row r="717">
      <c r="A717" s="6">
        <v>2025.0</v>
      </c>
      <c r="B717" s="6" t="s">
        <v>160</v>
      </c>
      <c r="C717" s="1" t="s">
        <v>284</v>
      </c>
      <c r="F717" s="6" t="s">
        <v>213</v>
      </c>
      <c r="H717" s="6" t="s">
        <v>388</v>
      </c>
      <c r="J717" s="3">
        <v>1030.0</v>
      </c>
      <c r="M717" s="6">
        <v>3980.0</v>
      </c>
      <c r="O717" s="7">
        <f t="shared" si="62"/>
        <v>4099.4</v>
      </c>
      <c r="R717" s="3"/>
    </row>
    <row r="718">
      <c r="A718" s="6">
        <v>2025.0</v>
      </c>
      <c r="B718" s="6" t="s">
        <v>160</v>
      </c>
      <c r="C718" s="1" t="s">
        <v>284</v>
      </c>
      <c r="F718" s="6" t="s">
        <v>213</v>
      </c>
      <c r="H718" s="6" t="s">
        <v>388</v>
      </c>
      <c r="J718" s="3">
        <v>850.0</v>
      </c>
      <c r="M718" s="6">
        <v>3980.0</v>
      </c>
      <c r="O718" s="7">
        <f t="shared" si="62"/>
        <v>3383</v>
      </c>
      <c r="R718" s="3"/>
    </row>
    <row r="719">
      <c r="A719" s="6">
        <v>2025.0</v>
      </c>
      <c r="B719" s="6" t="s">
        <v>160</v>
      </c>
      <c r="C719" s="1" t="s">
        <v>284</v>
      </c>
      <c r="F719" s="6" t="s">
        <v>213</v>
      </c>
      <c r="H719" s="6" t="s">
        <v>386</v>
      </c>
      <c r="J719" s="3">
        <v>2100.0</v>
      </c>
      <c r="M719" s="6">
        <v>5580.0</v>
      </c>
      <c r="O719" s="7">
        <f t="shared" si="62"/>
        <v>11718</v>
      </c>
      <c r="R719" s="3"/>
    </row>
    <row r="720">
      <c r="A720" s="6">
        <v>2025.0</v>
      </c>
      <c r="B720" s="6" t="s">
        <v>160</v>
      </c>
      <c r="C720" s="1" t="s">
        <v>284</v>
      </c>
      <c r="F720" s="6" t="s">
        <v>213</v>
      </c>
      <c r="H720" s="6" t="s">
        <v>412</v>
      </c>
      <c r="J720" s="3">
        <v>2480.0</v>
      </c>
      <c r="M720" s="6">
        <v>1380.0</v>
      </c>
      <c r="O720" s="7">
        <f t="shared" si="62"/>
        <v>3422.4</v>
      </c>
      <c r="R720" s="3"/>
    </row>
    <row r="721">
      <c r="A721" s="6">
        <v>2025.0</v>
      </c>
      <c r="B721" s="6" t="s">
        <v>160</v>
      </c>
      <c r="C721" s="1" t="s">
        <v>284</v>
      </c>
      <c r="F721" s="6" t="s">
        <v>213</v>
      </c>
      <c r="H721" s="6" t="s">
        <v>378</v>
      </c>
      <c r="J721" s="3">
        <v>960.0</v>
      </c>
      <c r="M721" s="6">
        <v>3780.0</v>
      </c>
      <c r="O721" s="7">
        <f t="shared" si="62"/>
        <v>3628.8</v>
      </c>
      <c r="R721" s="3"/>
    </row>
    <row r="722">
      <c r="A722" s="6">
        <v>2025.0</v>
      </c>
      <c r="B722" s="6" t="s">
        <v>160</v>
      </c>
      <c r="C722" s="1" t="s">
        <v>284</v>
      </c>
      <c r="F722" s="6" t="s">
        <v>213</v>
      </c>
      <c r="H722" s="6" t="s">
        <v>378</v>
      </c>
      <c r="J722" s="3">
        <v>2630.0</v>
      </c>
      <c r="M722" s="6">
        <v>3780.0</v>
      </c>
      <c r="O722" s="7">
        <f t="shared" si="62"/>
        <v>9941.4</v>
      </c>
      <c r="R722" s="3"/>
    </row>
    <row r="723">
      <c r="A723" s="24" t="s">
        <v>204</v>
      </c>
      <c r="B723" s="24"/>
      <c r="C723" s="24"/>
      <c r="D723" s="24"/>
      <c r="E723" s="24"/>
      <c r="F723" s="25"/>
      <c r="G723" s="25"/>
      <c r="H723" s="25"/>
      <c r="I723" s="25"/>
      <c r="J723" s="25"/>
      <c r="K723" s="25"/>
      <c r="L723" s="25"/>
      <c r="M723" s="25"/>
      <c r="N723" s="28" t="str">
        <f>CHANGE(O670,O723)</f>
        <v>#NAME?</v>
      </c>
      <c r="O723" s="26">
        <f>SUM(O689:O722)</f>
        <v>305634.52</v>
      </c>
    </row>
    <row r="724">
      <c r="A724" s="6">
        <v>2025.0</v>
      </c>
      <c r="B724" s="6" t="s">
        <v>163</v>
      </c>
      <c r="C724" s="1" t="s">
        <v>205</v>
      </c>
      <c r="F724" s="6" t="s">
        <v>213</v>
      </c>
      <c r="H724" s="6" t="s">
        <v>453</v>
      </c>
      <c r="L724" s="6">
        <v>1.0</v>
      </c>
      <c r="M724" s="6">
        <v>20950.0</v>
      </c>
      <c r="O724" s="7">
        <f>M724*L724</f>
        <v>20950</v>
      </c>
    </row>
    <row r="725">
      <c r="A725" s="6">
        <v>2025.0</v>
      </c>
      <c r="B725" s="6" t="s">
        <v>163</v>
      </c>
      <c r="C725" s="1" t="s">
        <v>205</v>
      </c>
      <c r="F725" s="6" t="s">
        <v>213</v>
      </c>
      <c r="H725" s="6" t="s">
        <v>378</v>
      </c>
      <c r="J725" s="3">
        <v>1020.0</v>
      </c>
      <c r="M725" s="6">
        <v>1980.0</v>
      </c>
      <c r="O725" s="7">
        <f t="shared" ref="O725:O747" si="63">M725*J725/1000</f>
        <v>2019.6</v>
      </c>
      <c r="R725" s="3"/>
    </row>
    <row r="726">
      <c r="A726" s="6">
        <v>2025.0</v>
      </c>
      <c r="B726" s="6" t="s">
        <v>163</v>
      </c>
      <c r="C726" s="1" t="s">
        <v>205</v>
      </c>
      <c r="F726" s="6" t="s">
        <v>213</v>
      </c>
      <c r="H726" s="6" t="s">
        <v>378</v>
      </c>
      <c r="J726" s="3">
        <v>2545.0</v>
      </c>
      <c r="M726" s="6">
        <v>1980.0</v>
      </c>
      <c r="O726" s="7">
        <f t="shared" si="63"/>
        <v>5039.1</v>
      </c>
      <c r="R726" s="3"/>
    </row>
    <row r="727">
      <c r="A727" s="6">
        <v>2025.0</v>
      </c>
      <c r="B727" s="6" t="s">
        <v>163</v>
      </c>
      <c r="C727" s="1" t="s">
        <v>205</v>
      </c>
      <c r="F727" s="6" t="s">
        <v>213</v>
      </c>
      <c r="H727" s="6" t="s">
        <v>377</v>
      </c>
      <c r="J727" s="3">
        <v>1120.0</v>
      </c>
      <c r="M727" s="6">
        <v>2580.0</v>
      </c>
      <c r="O727" s="7">
        <f t="shared" si="63"/>
        <v>2889.6</v>
      </c>
      <c r="R727" s="3"/>
    </row>
    <row r="728">
      <c r="A728" s="6">
        <v>2025.0</v>
      </c>
      <c r="B728" s="6" t="s">
        <v>163</v>
      </c>
      <c r="C728" s="1" t="s">
        <v>205</v>
      </c>
      <c r="F728" s="6" t="s">
        <v>213</v>
      </c>
      <c r="H728" s="6" t="s">
        <v>386</v>
      </c>
      <c r="J728" s="3">
        <v>2455.0</v>
      </c>
      <c r="M728" s="6">
        <v>4580.0</v>
      </c>
      <c r="O728" s="7">
        <f t="shared" si="63"/>
        <v>11243.9</v>
      </c>
      <c r="R728" s="3"/>
    </row>
    <row r="729">
      <c r="A729" s="6">
        <v>2025.0</v>
      </c>
      <c r="B729" s="6" t="s">
        <v>163</v>
      </c>
      <c r="C729" s="1" t="s">
        <v>205</v>
      </c>
      <c r="F729" s="6" t="s">
        <v>213</v>
      </c>
      <c r="H729" s="6" t="s">
        <v>435</v>
      </c>
      <c r="J729" s="3">
        <v>255.0</v>
      </c>
      <c r="M729" s="6">
        <v>4980.0</v>
      </c>
      <c r="O729" s="7">
        <f t="shared" si="63"/>
        <v>1269.9</v>
      </c>
      <c r="R729" s="3"/>
    </row>
    <row r="730">
      <c r="A730" s="6">
        <v>2025.0</v>
      </c>
      <c r="B730" s="6" t="s">
        <v>163</v>
      </c>
      <c r="C730" s="1" t="s">
        <v>205</v>
      </c>
      <c r="F730" s="6" t="s">
        <v>213</v>
      </c>
      <c r="H730" s="6" t="s">
        <v>379</v>
      </c>
      <c r="J730" s="3">
        <v>3005.0</v>
      </c>
      <c r="M730" s="6">
        <v>2380.0</v>
      </c>
      <c r="O730" s="7">
        <f t="shared" si="63"/>
        <v>7151.9</v>
      </c>
      <c r="R730" s="3"/>
    </row>
    <row r="731">
      <c r="A731" s="6">
        <v>2025.0</v>
      </c>
      <c r="B731" s="6" t="s">
        <v>163</v>
      </c>
      <c r="C731" s="1" t="s">
        <v>205</v>
      </c>
      <c r="F731" s="6" t="s">
        <v>213</v>
      </c>
      <c r="H731" s="6" t="s">
        <v>400</v>
      </c>
      <c r="J731" s="3">
        <v>2622.0</v>
      </c>
      <c r="M731" s="6">
        <v>7980.0</v>
      </c>
      <c r="O731" s="7">
        <f t="shared" si="63"/>
        <v>20923.56</v>
      </c>
      <c r="R731" s="3"/>
    </row>
    <row r="732">
      <c r="A732" s="6">
        <v>2025.0</v>
      </c>
      <c r="B732" s="6" t="s">
        <v>163</v>
      </c>
      <c r="C732" s="1" t="s">
        <v>205</v>
      </c>
      <c r="F732" s="6" t="s">
        <v>213</v>
      </c>
      <c r="H732" s="6" t="s">
        <v>419</v>
      </c>
      <c r="J732" s="3">
        <v>790.0</v>
      </c>
      <c r="M732" s="6">
        <v>16780.0</v>
      </c>
      <c r="O732" s="7">
        <f t="shared" si="63"/>
        <v>13256.2</v>
      </c>
      <c r="R732" s="3"/>
    </row>
    <row r="733">
      <c r="A733" s="6">
        <v>2025.0</v>
      </c>
      <c r="B733" s="6" t="s">
        <v>163</v>
      </c>
      <c r="C733" s="1" t="s">
        <v>205</v>
      </c>
      <c r="F733" s="6" t="s">
        <v>213</v>
      </c>
      <c r="H733" s="6" t="s">
        <v>429</v>
      </c>
      <c r="J733" s="3">
        <v>976.0</v>
      </c>
      <c r="M733" s="6">
        <v>16580.0</v>
      </c>
      <c r="O733" s="7">
        <f t="shared" si="63"/>
        <v>16182.08</v>
      </c>
      <c r="R733" s="3"/>
    </row>
    <row r="734">
      <c r="A734" s="6">
        <v>2025.0</v>
      </c>
      <c r="B734" s="6" t="s">
        <v>163</v>
      </c>
      <c r="C734" s="1" t="s">
        <v>205</v>
      </c>
      <c r="F734" s="6" t="s">
        <v>213</v>
      </c>
      <c r="H734" s="6" t="s">
        <v>438</v>
      </c>
      <c r="J734" s="3">
        <v>968.0</v>
      </c>
      <c r="M734" s="6">
        <v>32580.0</v>
      </c>
      <c r="O734" s="7">
        <f t="shared" si="63"/>
        <v>31537.44</v>
      </c>
      <c r="R734" s="3"/>
    </row>
    <row r="735">
      <c r="A735" s="6">
        <v>2025.0</v>
      </c>
      <c r="B735" s="6" t="s">
        <v>163</v>
      </c>
      <c r="C735" s="1" t="s">
        <v>205</v>
      </c>
      <c r="F735" s="6" t="s">
        <v>213</v>
      </c>
      <c r="H735" s="6" t="s">
        <v>414</v>
      </c>
      <c r="J735" s="3">
        <v>986.0</v>
      </c>
      <c r="M735" s="6">
        <v>19980.0</v>
      </c>
      <c r="O735" s="7">
        <f t="shared" si="63"/>
        <v>19700.28</v>
      </c>
      <c r="R735" s="3"/>
    </row>
    <row r="736">
      <c r="A736" s="6">
        <v>2025.0</v>
      </c>
      <c r="B736" s="6" t="s">
        <v>163</v>
      </c>
      <c r="C736" s="1" t="s">
        <v>205</v>
      </c>
      <c r="F736" s="6" t="s">
        <v>213</v>
      </c>
      <c r="H736" s="6" t="s">
        <v>414</v>
      </c>
      <c r="J736" s="3">
        <v>1052.0</v>
      </c>
      <c r="M736" s="6">
        <v>19980.0</v>
      </c>
      <c r="O736" s="7">
        <f t="shared" si="63"/>
        <v>21018.96</v>
      </c>
      <c r="R736" s="3"/>
    </row>
    <row r="737">
      <c r="A737" s="6">
        <v>2025.0</v>
      </c>
      <c r="B737" s="6" t="s">
        <v>163</v>
      </c>
      <c r="C737" s="1" t="s">
        <v>205</v>
      </c>
      <c r="F737" s="6" t="s">
        <v>213</v>
      </c>
      <c r="H737" s="6" t="s">
        <v>400</v>
      </c>
      <c r="J737" s="3">
        <v>3220.0</v>
      </c>
      <c r="M737" s="6">
        <v>7980.0</v>
      </c>
      <c r="O737" s="7">
        <f t="shared" si="63"/>
        <v>25695.6</v>
      </c>
      <c r="R737" s="3"/>
    </row>
    <row r="738">
      <c r="A738" s="6">
        <v>2025.0</v>
      </c>
      <c r="B738" s="6" t="s">
        <v>163</v>
      </c>
      <c r="C738" s="1" t="s">
        <v>205</v>
      </c>
      <c r="F738" s="6" t="s">
        <v>213</v>
      </c>
      <c r="H738" s="6" t="s">
        <v>387</v>
      </c>
      <c r="J738" s="3">
        <v>865.0</v>
      </c>
      <c r="M738" s="6">
        <v>2380.0</v>
      </c>
      <c r="O738" s="7">
        <f t="shared" si="63"/>
        <v>2058.7</v>
      </c>
      <c r="R738" s="3"/>
    </row>
    <row r="739">
      <c r="A739" s="6">
        <v>2025.0</v>
      </c>
      <c r="B739" s="6" t="s">
        <v>163</v>
      </c>
      <c r="C739" s="1" t="s">
        <v>205</v>
      </c>
      <c r="F739" s="6" t="s">
        <v>213</v>
      </c>
      <c r="H739" s="6" t="s">
        <v>390</v>
      </c>
      <c r="J739" s="3">
        <v>635.0</v>
      </c>
      <c r="M739" s="6">
        <v>4380.0</v>
      </c>
      <c r="O739" s="7">
        <f t="shared" si="63"/>
        <v>2781.3</v>
      </c>
      <c r="R739" s="3"/>
    </row>
    <row r="740">
      <c r="A740" s="6">
        <v>2025.0</v>
      </c>
      <c r="B740" s="6" t="s">
        <v>163</v>
      </c>
      <c r="C740" s="1" t="s">
        <v>205</v>
      </c>
      <c r="F740" s="6" t="s">
        <v>213</v>
      </c>
      <c r="H740" s="6" t="s">
        <v>380</v>
      </c>
      <c r="J740" s="3">
        <v>720.0</v>
      </c>
      <c r="M740" s="6">
        <v>4180.0</v>
      </c>
      <c r="O740" s="7">
        <f t="shared" si="63"/>
        <v>3009.6</v>
      </c>
      <c r="R740" s="3"/>
    </row>
    <row r="741">
      <c r="A741" s="6">
        <v>2025.0</v>
      </c>
      <c r="B741" s="6" t="s">
        <v>163</v>
      </c>
      <c r="C741" s="1" t="s">
        <v>205</v>
      </c>
      <c r="F741" s="6" t="s">
        <v>213</v>
      </c>
      <c r="H741" s="6" t="s">
        <v>412</v>
      </c>
      <c r="J741" s="3">
        <v>2130.0</v>
      </c>
      <c r="M741" s="6">
        <v>1300.0</v>
      </c>
      <c r="O741" s="7">
        <f t="shared" si="63"/>
        <v>2769</v>
      </c>
      <c r="R741" s="3"/>
    </row>
    <row r="742">
      <c r="A742" s="6">
        <v>2025.0</v>
      </c>
      <c r="B742" s="6" t="s">
        <v>163</v>
      </c>
      <c r="C742" s="1" t="s">
        <v>205</v>
      </c>
      <c r="F742" s="6" t="s">
        <v>213</v>
      </c>
      <c r="H742" s="6" t="s">
        <v>388</v>
      </c>
      <c r="J742" s="3">
        <v>590.0</v>
      </c>
      <c r="M742" s="6">
        <v>4780.0</v>
      </c>
      <c r="O742" s="7">
        <f t="shared" si="63"/>
        <v>2820.2</v>
      </c>
      <c r="R742" s="3"/>
    </row>
    <row r="743">
      <c r="A743" s="6">
        <v>2025.0</v>
      </c>
      <c r="B743" s="6" t="s">
        <v>163</v>
      </c>
      <c r="C743" s="1" t="s">
        <v>205</v>
      </c>
      <c r="F743" s="6" t="s">
        <v>213</v>
      </c>
      <c r="H743" s="6" t="s">
        <v>386</v>
      </c>
      <c r="J743" s="3">
        <v>1015.0</v>
      </c>
      <c r="M743" s="6">
        <v>4580.0</v>
      </c>
      <c r="O743" s="7">
        <f t="shared" si="63"/>
        <v>4648.7</v>
      </c>
      <c r="R743" s="3"/>
    </row>
    <row r="744">
      <c r="A744" s="6">
        <v>2025.0</v>
      </c>
      <c r="B744" s="6" t="s">
        <v>163</v>
      </c>
      <c r="C744" s="1" t="s">
        <v>205</v>
      </c>
      <c r="F744" s="6" t="s">
        <v>213</v>
      </c>
      <c r="H744" s="6" t="s">
        <v>388</v>
      </c>
      <c r="J744" s="3">
        <v>755.0</v>
      </c>
      <c r="M744" s="6">
        <v>4780.0</v>
      </c>
      <c r="O744" s="7">
        <f t="shared" si="63"/>
        <v>3608.9</v>
      </c>
      <c r="R744" s="3"/>
    </row>
    <row r="745">
      <c r="A745" s="6">
        <v>2025.0</v>
      </c>
      <c r="B745" s="6" t="s">
        <v>163</v>
      </c>
      <c r="C745" s="1" t="s">
        <v>205</v>
      </c>
      <c r="F745" s="6" t="s">
        <v>213</v>
      </c>
      <c r="H745" s="6" t="s">
        <v>387</v>
      </c>
      <c r="J745" s="3">
        <v>1095.0</v>
      </c>
      <c r="M745" s="6">
        <v>2380.0</v>
      </c>
      <c r="O745" s="7">
        <f t="shared" si="63"/>
        <v>2606.1</v>
      </c>
      <c r="R745" s="3"/>
    </row>
    <row r="746">
      <c r="A746" s="6">
        <v>2025.0</v>
      </c>
      <c r="B746" s="6" t="s">
        <v>163</v>
      </c>
      <c r="C746" s="1" t="s">
        <v>205</v>
      </c>
      <c r="F746" s="6" t="s">
        <v>213</v>
      </c>
      <c r="H746" s="6" t="s">
        <v>390</v>
      </c>
      <c r="J746" s="3">
        <v>510.0</v>
      </c>
      <c r="M746" s="6">
        <v>4380.0</v>
      </c>
      <c r="O746" s="7">
        <f t="shared" si="63"/>
        <v>2233.8</v>
      </c>
      <c r="R746" s="3"/>
    </row>
    <row r="747">
      <c r="A747" s="6">
        <v>2025.0</v>
      </c>
      <c r="B747" s="6" t="s">
        <v>163</v>
      </c>
      <c r="C747" s="1" t="s">
        <v>205</v>
      </c>
      <c r="F747" s="6" t="s">
        <v>213</v>
      </c>
      <c r="H747" s="6" t="s">
        <v>448</v>
      </c>
      <c r="J747" s="3">
        <v>565.0</v>
      </c>
      <c r="M747" s="6">
        <v>5180.0</v>
      </c>
      <c r="O747" s="7">
        <f t="shared" si="63"/>
        <v>2926.7</v>
      </c>
      <c r="R747" s="3"/>
    </row>
    <row r="748">
      <c r="A748" s="6">
        <v>2025.0</v>
      </c>
      <c r="B748" s="6" t="s">
        <v>163</v>
      </c>
      <c r="C748" s="1" t="s">
        <v>205</v>
      </c>
      <c r="F748" s="6" t="s">
        <v>213</v>
      </c>
      <c r="H748" s="6" t="s">
        <v>394</v>
      </c>
      <c r="L748" s="6">
        <v>1.0</v>
      </c>
      <c r="M748" s="6">
        <v>21990.0</v>
      </c>
      <c r="O748" s="7">
        <f t="shared" ref="O748:O751" si="64">M748*L748</f>
        <v>21990</v>
      </c>
    </row>
    <row r="749">
      <c r="A749" s="6">
        <v>2025.0</v>
      </c>
      <c r="B749" s="6" t="s">
        <v>163</v>
      </c>
      <c r="C749" s="1" t="s">
        <v>205</v>
      </c>
      <c r="F749" s="6" t="s">
        <v>213</v>
      </c>
      <c r="H749" s="6" t="s">
        <v>391</v>
      </c>
      <c r="L749" s="6">
        <v>1.0</v>
      </c>
      <c r="M749" s="6">
        <v>7200.0</v>
      </c>
      <c r="O749" s="7">
        <f t="shared" si="64"/>
        <v>7200</v>
      </c>
    </row>
    <row r="750">
      <c r="A750" s="6">
        <v>2025.0</v>
      </c>
      <c r="B750" s="6" t="s">
        <v>163</v>
      </c>
      <c r="C750" s="1" t="s">
        <v>205</v>
      </c>
      <c r="F750" s="6" t="s">
        <v>213</v>
      </c>
      <c r="H750" s="6" t="s">
        <v>393</v>
      </c>
      <c r="L750" s="6">
        <v>1.0</v>
      </c>
      <c r="M750" s="6">
        <v>4990.0</v>
      </c>
      <c r="O750" s="7">
        <f t="shared" si="64"/>
        <v>4990</v>
      </c>
    </row>
    <row r="751">
      <c r="A751" s="6">
        <v>2025.0</v>
      </c>
      <c r="B751" s="6" t="s">
        <v>163</v>
      </c>
      <c r="C751" s="1" t="s">
        <v>205</v>
      </c>
      <c r="F751" s="6" t="s">
        <v>213</v>
      </c>
      <c r="H751" s="6" t="s">
        <v>396</v>
      </c>
      <c r="L751" s="6">
        <v>1.0</v>
      </c>
      <c r="M751" s="6">
        <v>4390.0</v>
      </c>
      <c r="O751" s="7">
        <f t="shared" si="64"/>
        <v>4390</v>
      </c>
    </row>
    <row r="752">
      <c r="A752" s="6">
        <v>2025.0</v>
      </c>
      <c r="B752" s="6" t="s">
        <v>163</v>
      </c>
      <c r="C752" s="1" t="s">
        <v>205</v>
      </c>
      <c r="F752" s="6" t="s">
        <v>213</v>
      </c>
      <c r="H752" s="6" t="s">
        <v>442</v>
      </c>
      <c r="J752" s="3">
        <v>755.0</v>
      </c>
      <c r="M752" s="6">
        <v>4380.0</v>
      </c>
      <c r="O752" s="7">
        <f>M752*J752/1000</f>
        <v>3306.9</v>
      </c>
      <c r="R752" s="3"/>
    </row>
    <row r="753">
      <c r="A753" s="6">
        <v>2025.0</v>
      </c>
      <c r="B753" s="6" t="s">
        <v>163</v>
      </c>
      <c r="C753" s="1" t="s">
        <v>205</v>
      </c>
      <c r="F753" s="6" t="s">
        <v>213</v>
      </c>
      <c r="H753" s="6" t="s">
        <v>425</v>
      </c>
      <c r="L753" s="6">
        <v>1.0</v>
      </c>
      <c r="M753" s="6">
        <v>1990.0</v>
      </c>
      <c r="O753" s="7">
        <f t="shared" ref="O753:O757" si="65">M753*L753</f>
        <v>1990</v>
      </c>
    </row>
    <row r="754">
      <c r="A754" s="6">
        <v>2025.0</v>
      </c>
      <c r="B754" s="6" t="s">
        <v>163</v>
      </c>
      <c r="C754" s="1" t="s">
        <v>205</v>
      </c>
      <c r="F754" s="6" t="s">
        <v>213</v>
      </c>
      <c r="H754" s="6" t="s">
        <v>395</v>
      </c>
      <c r="L754" s="6">
        <v>1.0</v>
      </c>
      <c r="M754" s="6">
        <v>3500.0</v>
      </c>
      <c r="O754" s="7">
        <f t="shared" si="65"/>
        <v>3500</v>
      </c>
    </row>
    <row r="755">
      <c r="A755" s="6">
        <v>2025.0</v>
      </c>
      <c r="B755" s="6" t="s">
        <v>163</v>
      </c>
      <c r="C755" s="1" t="s">
        <v>205</v>
      </c>
      <c r="F755" s="6" t="s">
        <v>213</v>
      </c>
      <c r="H755" s="6" t="s">
        <v>455</v>
      </c>
      <c r="L755" s="6">
        <v>1.0</v>
      </c>
      <c r="M755" s="6">
        <v>1550.0</v>
      </c>
      <c r="O755" s="7">
        <f t="shared" si="65"/>
        <v>1550</v>
      </c>
    </row>
    <row r="756">
      <c r="A756" s="6">
        <v>2025.0</v>
      </c>
      <c r="B756" s="6" t="s">
        <v>163</v>
      </c>
      <c r="C756" s="1" t="s">
        <v>205</v>
      </c>
      <c r="F756" s="6" t="s">
        <v>213</v>
      </c>
      <c r="H756" s="6" t="s">
        <v>456</v>
      </c>
      <c r="L756" s="6">
        <v>1.0</v>
      </c>
      <c r="M756" s="6">
        <v>1550.0</v>
      </c>
      <c r="O756" s="7">
        <f t="shared" si="65"/>
        <v>1550</v>
      </c>
    </row>
    <row r="757">
      <c r="A757" s="6">
        <v>2025.0</v>
      </c>
      <c r="B757" s="6" t="s">
        <v>163</v>
      </c>
      <c r="C757" s="1" t="s">
        <v>205</v>
      </c>
      <c r="F757" s="6" t="s">
        <v>213</v>
      </c>
      <c r="H757" s="6" t="s">
        <v>397</v>
      </c>
      <c r="L757" s="6">
        <v>1.0</v>
      </c>
      <c r="M757" s="6">
        <v>1990.0</v>
      </c>
      <c r="O757" s="7">
        <f t="shared" si="65"/>
        <v>1990</v>
      </c>
    </row>
    <row r="758">
      <c r="A758" s="24" t="s">
        <v>204</v>
      </c>
      <c r="B758" s="24"/>
      <c r="C758" s="24"/>
      <c r="D758" s="24"/>
      <c r="E758" s="24"/>
      <c r="F758" s="25"/>
      <c r="G758" s="25"/>
      <c r="H758" s="25"/>
      <c r="I758" s="25"/>
      <c r="J758" s="25"/>
      <c r="K758" s="25"/>
      <c r="L758" s="25"/>
      <c r="M758" s="25"/>
      <c r="N758" s="28" t="str">
        <f>CHANGE(O705,O758)</f>
        <v>#NAME?</v>
      </c>
      <c r="O758" s="26">
        <f>SUM(O724:O757)</f>
        <v>280798.02</v>
      </c>
    </row>
    <row r="759">
      <c r="A759" s="6">
        <v>2025.0</v>
      </c>
      <c r="B759" s="6" t="s">
        <v>163</v>
      </c>
      <c r="C759" s="1" t="s">
        <v>284</v>
      </c>
      <c r="F759" s="6" t="s">
        <v>213</v>
      </c>
      <c r="H759" s="6" t="s">
        <v>380</v>
      </c>
      <c r="J759" s="3">
        <v>688.0</v>
      </c>
      <c r="M759" s="6">
        <v>4900.0</v>
      </c>
      <c r="O759" s="7">
        <f t="shared" ref="O759:O762" si="66">M759*J759/1000</f>
        <v>3371.2</v>
      </c>
      <c r="R759" s="3"/>
    </row>
    <row r="760">
      <c r="A760" s="6">
        <v>2025.0</v>
      </c>
      <c r="B760" s="6" t="s">
        <v>163</v>
      </c>
      <c r="C760" s="1" t="s">
        <v>284</v>
      </c>
      <c r="F760" s="6" t="s">
        <v>213</v>
      </c>
      <c r="H760" s="6" t="s">
        <v>448</v>
      </c>
      <c r="J760" s="3">
        <v>508.0</v>
      </c>
      <c r="M760" s="6">
        <v>4780.0</v>
      </c>
      <c r="O760" s="7">
        <f t="shared" si="66"/>
        <v>2428.24</v>
      </c>
      <c r="R760" s="3"/>
    </row>
    <row r="761">
      <c r="A761" s="6">
        <v>2025.0</v>
      </c>
      <c r="B761" s="6" t="s">
        <v>163</v>
      </c>
      <c r="C761" s="1" t="s">
        <v>284</v>
      </c>
      <c r="F761" s="6" t="s">
        <v>213</v>
      </c>
      <c r="H761" s="6" t="s">
        <v>387</v>
      </c>
      <c r="J761" s="3">
        <v>1506.0</v>
      </c>
      <c r="M761" s="6">
        <v>3500.0</v>
      </c>
      <c r="O761" s="7">
        <f t="shared" si="66"/>
        <v>5271</v>
      </c>
      <c r="R761" s="3"/>
    </row>
    <row r="762">
      <c r="A762" s="6">
        <v>2025.0</v>
      </c>
      <c r="B762" s="6" t="s">
        <v>163</v>
      </c>
      <c r="C762" s="1" t="s">
        <v>284</v>
      </c>
      <c r="F762" s="6" t="s">
        <v>213</v>
      </c>
      <c r="H762" s="6" t="s">
        <v>390</v>
      </c>
      <c r="J762" s="3">
        <v>450.0</v>
      </c>
      <c r="M762" s="6">
        <v>4180.0</v>
      </c>
      <c r="O762" s="7">
        <f t="shared" si="66"/>
        <v>1881</v>
      </c>
      <c r="R762" s="3"/>
    </row>
    <row r="763">
      <c r="A763" s="6">
        <v>2025.0</v>
      </c>
      <c r="B763" s="6" t="s">
        <v>163</v>
      </c>
      <c r="C763" s="1" t="s">
        <v>284</v>
      </c>
      <c r="F763" s="6" t="s">
        <v>213</v>
      </c>
      <c r="H763" s="6" t="s">
        <v>453</v>
      </c>
      <c r="L763" s="6">
        <v>1.0</v>
      </c>
      <c r="M763" s="6">
        <v>20990.0</v>
      </c>
      <c r="O763" s="7">
        <f t="shared" ref="O763:O774" si="67">M763*L763</f>
        <v>20990</v>
      </c>
    </row>
    <row r="764">
      <c r="A764" s="6">
        <v>2025.0</v>
      </c>
      <c r="B764" s="6" t="s">
        <v>163</v>
      </c>
      <c r="C764" s="1" t="s">
        <v>284</v>
      </c>
      <c r="F764" s="6" t="s">
        <v>213</v>
      </c>
      <c r="H764" s="6" t="s">
        <v>451</v>
      </c>
      <c r="L764" s="6">
        <v>1.0</v>
      </c>
      <c r="M764" s="6">
        <v>8450.0</v>
      </c>
      <c r="O764" s="7">
        <f t="shared" si="67"/>
        <v>8450</v>
      </c>
    </row>
    <row r="765">
      <c r="A765" s="6">
        <v>2025.0</v>
      </c>
      <c r="B765" s="6" t="s">
        <v>163</v>
      </c>
      <c r="C765" s="1" t="s">
        <v>284</v>
      </c>
      <c r="F765" s="6" t="s">
        <v>213</v>
      </c>
      <c r="H765" s="6" t="s">
        <v>454</v>
      </c>
      <c r="L765" s="6">
        <v>1.0</v>
      </c>
      <c r="M765" s="6">
        <v>2650.0</v>
      </c>
      <c r="O765" s="7">
        <f t="shared" si="67"/>
        <v>2650</v>
      </c>
    </row>
    <row r="766">
      <c r="A766" s="6">
        <v>2025.0</v>
      </c>
      <c r="B766" s="6" t="s">
        <v>163</v>
      </c>
      <c r="C766" s="1" t="s">
        <v>284</v>
      </c>
      <c r="F766" s="6" t="s">
        <v>213</v>
      </c>
      <c r="H766" s="6" t="s">
        <v>392</v>
      </c>
      <c r="L766" s="6">
        <v>1.0</v>
      </c>
      <c r="M766" s="6">
        <v>1500.0</v>
      </c>
      <c r="O766" s="7">
        <f t="shared" si="67"/>
        <v>1500</v>
      </c>
    </row>
    <row r="767">
      <c r="A767" s="6">
        <v>2025.0</v>
      </c>
      <c r="B767" s="6" t="s">
        <v>163</v>
      </c>
      <c r="C767" s="1" t="s">
        <v>284</v>
      </c>
      <c r="F767" s="6" t="s">
        <v>213</v>
      </c>
      <c r="H767" s="6" t="s">
        <v>396</v>
      </c>
      <c r="L767" s="6">
        <v>1.0</v>
      </c>
      <c r="M767" s="6">
        <v>4290.0</v>
      </c>
      <c r="O767" s="7">
        <f t="shared" si="67"/>
        <v>4290</v>
      </c>
    </row>
    <row r="768">
      <c r="A768" s="6">
        <v>2025.0</v>
      </c>
      <c r="B768" s="6" t="s">
        <v>163</v>
      </c>
      <c r="C768" s="1" t="s">
        <v>284</v>
      </c>
      <c r="F768" s="6" t="s">
        <v>213</v>
      </c>
      <c r="H768" s="6" t="s">
        <v>392</v>
      </c>
      <c r="L768" s="6">
        <v>1.0</v>
      </c>
      <c r="M768" s="6">
        <v>1500.0</v>
      </c>
      <c r="O768" s="7">
        <f t="shared" si="67"/>
        <v>1500</v>
      </c>
    </row>
    <row r="769">
      <c r="A769" s="6">
        <v>2025.0</v>
      </c>
      <c r="B769" s="6" t="s">
        <v>163</v>
      </c>
      <c r="C769" s="1" t="s">
        <v>284</v>
      </c>
      <c r="F769" s="6" t="s">
        <v>213</v>
      </c>
      <c r="H769" s="6" t="s">
        <v>457</v>
      </c>
      <c r="L769" s="6">
        <v>1.0</v>
      </c>
      <c r="M769" s="6">
        <v>18900.0</v>
      </c>
      <c r="O769" s="7">
        <f t="shared" si="67"/>
        <v>18900</v>
      </c>
    </row>
    <row r="770">
      <c r="A770" s="6">
        <v>2025.0</v>
      </c>
      <c r="B770" s="6" t="s">
        <v>163</v>
      </c>
      <c r="C770" s="1" t="s">
        <v>284</v>
      </c>
      <c r="F770" s="6" t="s">
        <v>213</v>
      </c>
      <c r="H770" s="6" t="s">
        <v>411</v>
      </c>
      <c r="L770" s="6">
        <v>1.0</v>
      </c>
      <c r="M770" s="6">
        <v>2800.0</v>
      </c>
      <c r="O770" s="7">
        <f t="shared" si="67"/>
        <v>2800</v>
      </c>
    </row>
    <row r="771">
      <c r="A771" s="6">
        <v>2025.0</v>
      </c>
      <c r="B771" s="6" t="s">
        <v>163</v>
      </c>
      <c r="C771" s="1" t="s">
        <v>284</v>
      </c>
      <c r="F771" s="6" t="s">
        <v>213</v>
      </c>
      <c r="H771" s="6" t="s">
        <v>455</v>
      </c>
      <c r="L771" s="6">
        <v>1.0</v>
      </c>
      <c r="M771" s="6">
        <v>1550.0</v>
      </c>
      <c r="O771" s="7">
        <f t="shared" si="67"/>
        <v>1550</v>
      </c>
    </row>
    <row r="772">
      <c r="A772" s="6">
        <v>2025.0</v>
      </c>
      <c r="B772" s="6" t="s">
        <v>163</v>
      </c>
      <c r="C772" s="1" t="s">
        <v>284</v>
      </c>
      <c r="F772" s="6" t="s">
        <v>213</v>
      </c>
      <c r="H772" s="6" t="s">
        <v>393</v>
      </c>
      <c r="L772" s="6">
        <v>1.0</v>
      </c>
      <c r="M772" s="6">
        <v>4990.0</v>
      </c>
      <c r="O772" s="7">
        <f t="shared" si="67"/>
        <v>4990</v>
      </c>
    </row>
    <row r="773">
      <c r="A773" s="6">
        <v>2025.0</v>
      </c>
      <c r="B773" s="6" t="s">
        <v>163</v>
      </c>
      <c r="C773" s="1" t="s">
        <v>284</v>
      </c>
      <c r="F773" s="6" t="s">
        <v>213</v>
      </c>
      <c r="H773" s="6" t="s">
        <v>391</v>
      </c>
      <c r="L773" s="6">
        <v>1.0</v>
      </c>
      <c r="M773" s="6">
        <v>7200.0</v>
      </c>
      <c r="O773" s="7">
        <f t="shared" si="67"/>
        <v>7200</v>
      </c>
    </row>
    <row r="774">
      <c r="A774" s="6">
        <v>2025.0</v>
      </c>
      <c r="B774" s="6" t="s">
        <v>163</v>
      </c>
      <c r="C774" s="1" t="s">
        <v>284</v>
      </c>
      <c r="F774" s="6" t="s">
        <v>213</v>
      </c>
      <c r="H774" s="6" t="s">
        <v>449</v>
      </c>
      <c r="L774" s="6">
        <v>1.0</v>
      </c>
      <c r="M774" s="6">
        <v>9450.0</v>
      </c>
      <c r="O774" s="7">
        <f t="shared" si="67"/>
        <v>9450</v>
      </c>
    </row>
    <row r="775">
      <c r="A775" s="6">
        <v>2025.0</v>
      </c>
      <c r="B775" s="6" t="s">
        <v>163</v>
      </c>
      <c r="C775" s="1" t="s">
        <v>284</v>
      </c>
      <c r="F775" s="6" t="s">
        <v>213</v>
      </c>
      <c r="H775" s="6" t="s">
        <v>438</v>
      </c>
      <c r="J775" s="3">
        <v>968.0</v>
      </c>
      <c r="M775" s="6">
        <v>32980.0</v>
      </c>
      <c r="O775" s="7">
        <f t="shared" ref="O775:O790" si="68">M775*J775/1000</f>
        <v>31924.64</v>
      </c>
      <c r="R775" s="3"/>
    </row>
    <row r="776">
      <c r="A776" s="6">
        <v>2025.0</v>
      </c>
      <c r="B776" s="6" t="s">
        <v>163</v>
      </c>
      <c r="C776" s="1" t="s">
        <v>284</v>
      </c>
      <c r="F776" s="6" t="s">
        <v>213</v>
      </c>
      <c r="H776" s="6" t="s">
        <v>429</v>
      </c>
      <c r="J776" s="3">
        <v>1114.0</v>
      </c>
      <c r="M776" s="6">
        <v>15980.0</v>
      </c>
      <c r="O776" s="7">
        <f t="shared" si="68"/>
        <v>17801.72</v>
      </c>
      <c r="R776" s="3"/>
    </row>
    <row r="777">
      <c r="A777" s="6">
        <v>2025.0</v>
      </c>
      <c r="B777" s="6" t="s">
        <v>163</v>
      </c>
      <c r="C777" s="1" t="s">
        <v>284</v>
      </c>
      <c r="F777" s="6" t="s">
        <v>213</v>
      </c>
      <c r="H777" s="6" t="s">
        <v>414</v>
      </c>
      <c r="J777" s="3">
        <v>1064.0</v>
      </c>
      <c r="M777" s="6">
        <v>26980.0</v>
      </c>
      <c r="O777" s="7">
        <f t="shared" si="68"/>
        <v>28706.72</v>
      </c>
      <c r="R777" s="3"/>
    </row>
    <row r="778">
      <c r="A778" s="6">
        <v>2025.0</v>
      </c>
      <c r="B778" s="6" t="s">
        <v>163</v>
      </c>
      <c r="C778" s="1" t="s">
        <v>284</v>
      </c>
      <c r="F778" s="6" t="s">
        <v>213</v>
      </c>
      <c r="H778" s="6" t="s">
        <v>419</v>
      </c>
      <c r="J778" s="3">
        <v>768.0</v>
      </c>
      <c r="M778" s="6">
        <v>15980.0</v>
      </c>
      <c r="O778" s="7">
        <f t="shared" si="68"/>
        <v>12272.64</v>
      </c>
      <c r="R778" s="3"/>
    </row>
    <row r="779">
      <c r="A779" s="6">
        <v>2025.0</v>
      </c>
      <c r="B779" s="6" t="s">
        <v>163</v>
      </c>
      <c r="C779" s="1" t="s">
        <v>284</v>
      </c>
      <c r="F779" s="6" t="s">
        <v>213</v>
      </c>
      <c r="H779" s="6" t="s">
        <v>414</v>
      </c>
      <c r="J779" s="3">
        <v>898.0</v>
      </c>
      <c r="M779" s="6">
        <v>26980.0</v>
      </c>
      <c r="O779" s="7">
        <f t="shared" si="68"/>
        <v>24228.04</v>
      </c>
      <c r="R779" s="3"/>
    </row>
    <row r="780">
      <c r="A780" s="6">
        <v>2025.0</v>
      </c>
      <c r="B780" s="6" t="s">
        <v>163</v>
      </c>
      <c r="C780" s="1" t="s">
        <v>284</v>
      </c>
      <c r="F780" s="6" t="s">
        <v>213</v>
      </c>
      <c r="H780" s="6" t="s">
        <v>400</v>
      </c>
      <c r="J780" s="3">
        <v>2445.0</v>
      </c>
      <c r="M780" s="6">
        <v>8780.0</v>
      </c>
      <c r="O780" s="7">
        <f t="shared" si="68"/>
        <v>21467.1</v>
      </c>
      <c r="R780" s="3"/>
    </row>
    <row r="781">
      <c r="A781" s="6">
        <v>2025.0</v>
      </c>
      <c r="B781" s="6" t="s">
        <v>163</v>
      </c>
      <c r="C781" s="1" t="s">
        <v>284</v>
      </c>
      <c r="F781" s="6" t="s">
        <v>213</v>
      </c>
      <c r="H781" s="6" t="s">
        <v>400</v>
      </c>
      <c r="J781" s="3">
        <v>2705.0</v>
      </c>
      <c r="M781" s="6">
        <v>8780.0</v>
      </c>
      <c r="O781" s="7">
        <f t="shared" si="68"/>
        <v>23749.9</v>
      </c>
      <c r="R781" s="3"/>
    </row>
    <row r="782">
      <c r="A782" s="6">
        <v>2025.0</v>
      </c>
      <c r="B782" s="6" t="s">
        <v>163</v>
      </c>
      <c r="C782" s="1" t="s">
        <v>284</v>
      </c>
      <c r="F782" s="6" t="s">
        <v>213</v>
      </c>
      <c r="H782" s="6" t="s">
        <v>412</v>
      </c>
      <c r="J782" s="3">
        <v>2460.0</v>
      </c>
      <c r="M782" s="6">
        <v>1180.0</v>
      </c>
      <c r="O782" s="7">
        <f t="shared" si="68"/>
        <v>2902.8</v>
      </c>
      <c r="R782" s="3"/>
    </row>
    <row r="783">
      <c r="A783" s="6">
        <v>2025.0</v>
      </c>
      <c r="B783" s="6" t="s">
        <v>163</v>
      </c>
      <c r="C783" s="1" t="s">
        <v>284</v>
      </c>
      <c r="F783" s="6" t="s">
        <v>213</v>
      </c>
      <c r="H783" s="6" t="s">
        <v>378</v>
      </c>
      <c r="J783" s="3">
        <v>3472.0</v>
      </c>
      <c r="M783" s="6">
        <v>2700.0</v>
      </c>
      <c r="O783" s="7">
        <f t="shared" si="68"/>
        <v>9374.4</v>
      </c>
      <c r="R783" s="3"/>
    </row>
    <row r="784">
      <c r="A784" s="6">
        <v>2025.0</v>
      </c>
      <c r="B784" s="6" t="s">
        <v>163</v>
      </c>
      <c r="C784" s="1" t="s">
        <v>284</v>
      </c>
      <c r="F784" s="6" t="s">
        <v>213</v>
      </c>
      <c r="H784" s="6" t="s">
        <v>377</v>
      </c>
      <c r="J784" s="3">
        <v>1226.0</v>
      </c>
      <c r="M784" s="6">
        <v>2580.0</v>
      </c>
      <c r="O784" s="7">
        <f t="shared" si="68"/>
        <v>3163.08</v>
      </c>
      <c r="R784" s="3"/>
    </row>
    <row r="785">
      <c r="A785" s="6">
        <v>2025.0</v>
      </c>
      <c r="B785" s="6" t="s">
        <v>163</v>
      </c>
      <c r="C785" s="1" t="s">
        <v>284</v>
      </c>
      <c r="F785" s="6" t="s">
        <v>213</v>
      </c>
      <c r="H785" s="6" t="s">
        <v>435</v>
      </c>
      <c r="J785" s="3">
        <v>228.0</v>
      </c>
      <c r="M785" s="6">
        <v>4700.0</v>
      </c>
      <c r="O785" s="7">
        <f t="shared" si="68"/>
        <v>1071.6</v>
      </c>
      <c r="R785" s="3"/>
    </row>
    <row r="786">
      <c r="A786" s="6">
        <v>2025.0</v>
      </c>
      <c r="B786" s="6" t="s">
        <v>163</v>
      </c>
      <c r="C786" s="1" t="s">
        <v>284</v>
      </c>
      <c r="F786" s="6" t="s">
        <v>213</v>
      </c>
      <c r="H786" s="6" t="s">
        <v>447</v>
      </c>
      <c r="J786" s="3">
        <v>936.0</v>
      </c>
      <c r="M786" s="6">
        <v>3580.0</v>
      </c>
      <c r="O786" s="7">
        <f t="shared" si="68"/>
        <v>3350.88</v>
      </c>
      <c r="R786" s="3"/>
    </row>
    <row r="787">
      <c r="A787" s="6">
        <v>2025.0</v>
      </c>
      <c r="B787" s="6" t="s">
        <v>163</v>
      </c>
      <c r="C787" s="1" t="s">
        <v>284</v>
      </c>
      <c r="F787" s="6" t="s">
        <v>213</v>
      </c>
      <c r="H787" s="6" t="s">
        <v>386</v>
      </c>
      <c r="J787" s="3">
        <v>3716.0</v>
      </c>
      <c r="M787" s="6">
        <v>5500.0</v>
      </c>
      <c r="O787" s="7">
        <f t="shared" si="68"/>
        <v>20438</v>
      </c>
      <c r="R787" s="3"/>
    </row>
    <row r="788">
      <c r="A788" s="6">
        <v>2025.0</v>
      </c>
      <c r="B788" s="6" t="s">
        <v>163</v>
      </c>
      <c r="C788" s="1" t="s">
        <v>284</v>
      </c>
      <c r="F788" s="6" t="s">
        <v>213</v>
      </c>
      <c r="H788" s="6" t="s">
        <v>379</v>
      </c>
      <c r="J788" s="3">
        <v>2004.0</v>
      </c>
      <c r="M788" s="6">
        <v>2380.0</v>
      </c>
      <c r="O788" s="7">
        <f t="shared" si="68"/>
        <v>4769.52</v>
      </c>
      <c r="R788" s="3"/>
    </row>
    <row r="789">
      <c r="A789" s="6">
        <v>2025.0</v>
      </c>
      <c r="B789" s="6" t="s">
        <v>163</v>
      </c>
      <c r="C789" s="1" t="s">
        <v>284</v>
      </c>
      <c r="F789" s="6" t="s">
        <v>213</v>
      </c>
      <c r="H789" s="6" t="s">
        <v>388</v>
      </c>
      <c r="J789" s="3">
        <v>1122.0</v>
      </c>
      <c r="M789" s="6">
        <v>5380.0</v>
      </c>
      <c r="O789" s="7">
        <f t="shared" si="68"/>
        <v>6036.36</v>
      </c>
      <c r="R789" s="3"/>
    </row>
    <row r="790">
      <c r="A790" s="6">
        <v>2025.0</v>
      </c>
      <c r="B790" s="6" t="s">
        <v>163</v>
      </c>
      <c r="C790" s="1" t="s">
        <v>284</v>
      </c>
      <c r="F790" s="6" t="s">
        <v>213</v>
      </c>
      <c r="H790" s="6" t="s">
        <v>390</v>
      </c>
      <c r="J790" s="3">
        <v>690.0</v>
      </c>
      <c r="M790" s="6">
        <v>4180.0</v>
      </c>
      <c r="O790" s="7">
        <f t="shared" si="68"/>
        <v>2884.2</v>
      </c>
      <c r="R790" s="3"/>
    </row>
    <row r="791">
      <c r="A791" s="24" t="s">
        <v>204</v>
      </c>
      <c r="B791" s="24"/>
      <c r="C791" s="24"/>
      <c r="D791" s="24"/>
      <c r="E791" s="24"/>
      <c r="F791" s="25"/>
      <c r="G791" s="25"/>
      <c r="H791" s="25"/>
      <c r="I791" s="25"/>
      <c r="J791" s="25"/>
      <c r="K791" s="25"/>
      <c r="L791" s="25"/>
      <c r="M791" s="25"/>
      <c r="N791" s="28" t="str">
        <f>CHANGE(O738,O791)</f>
        <v>#NAME?</v>
      </c>
      <c r="O791" s="26">
        <f>SUM(O759:O790)</f>
        <v>311363.04</v>
      </c>
    </row>
    <row r="792">
      <c r="A792" s="6">
        <v>2025.0</v>
      </c>
      <c r="B792" s="6" t="s">
        <v>339</v>
      </c>
      <c r="C792" s="1" t="s">
        <v>284</v>
      </c>
      <c r="F792" s="6" t="s">
        <v>213</v>
      </c>
      <c r="H792" s="6" t="s">
        <v>458</v>
      </c>
      <c r="J792" s="3">
        <v>835.0</v>
      </c>
      <c r="M792" s="6">
        <v>4380.0</v>
      </c>
      <c r="O792" s="7">
        <f>M792*J792/1000</f>
        <v>3657.3</v>
      </c>
      <c r="R792" s="3"/>
    </row>
    <row r="793">
      <c r="A793" s="6">
        <v>2025.0</v>
      </c>
      <c r="B793" s="6" t="s">
        <v>339</v>
      </c>
      <c r="C793" s="1" t="s">
        <v>284</v>
      </c>
      <c r="F793" s="6" t="s">
        <v>213</v>
      </c>
      <c r="H793" s="6" t="s">
        <v>394</v>
      </c>
      <c r="L793" s="6">
        <v>1.0</v>
      </c>
      <c r="M793" s="6">
        <v>21990.0</v>
      </c>
      <c r="O793" s="7">
        <f t="shared" ref="O793:O795" si="69">M793*L793</f>
        <v>21990</v>
      </c>
    </row>
    <row r="794">
      <c r="A794" s="6">
        <v>2025.0</v>
      </c>
      <c r="B794" s="6" t="s">
        <v>339</v>
      </c>
      <c r="C794" s="1" t="s">
        <v>284</v>
      </c>
      <c r="F794" s="6" t="s">
        <v>213</v>
      </c>
      <c r="H794" s="6" t="s">
        <v>392</v>
      </c>
      <c r="L794" s="6">
        <v>1.0</v>
      </c>
      <c r="M794" s="6">
        <v>1500.0</v>
      </c>
      <c r="O794" s="7">
        <f t="shared" si="69"/>
        <v>1500</v>
      </c>
    </row>
    <row r="795">
      <c r="A795" s="6">
        <v>2025.0</v>
      </c>
      <c r="B795" s="6" t="s">
        <v>339</v>
      </c>
      <c r="C795" s="1" t="s">
        <v>284</v>
      </c>
      <c r="F795" s="6" t="s">
        <v>213</v>
      </c>
      <c r="H795" s="6" t="s">
        <v>450</v>
      </c>
      <c r="L795" s="6">
        <v>1.0</v>
      </c>
      <c r="M795" s="6">
        <v>22990.0</v>
      </c>
      <c r="O795" s="7">
        <f t="shared" si="69"/>
        <v>22990</v>
      </c>
    </row>
    <row r="796">
      <c r="A796" s="6">
        <v>2025.0</v>
      </c>
      <c r="B796" s="6" t="s">
        <v>339</v>
      </c>
      <c r="C796" s="1" t="s">
        <v>284</v>
      </c>
      <c r="F796" s="6" t="s">
        <v>213</v>
      </c>
      <c r="H796" s="6" t="s">
        <v>379</v>
      </c>
      <c r="J796" s="3">
        <v>2395.0</v>
      </c>
      <c r="M796" s="6">
        <v>2380.0</v>
      </c>
      <c r="O796" s="7">
        <f t="shared" ref="O796:O797" si="70">M796*J796/1000</f>
        <v>5700.1</v>
      </c>
      <c r="R796" s="3"/>
    </row>
    <row r="797">
      <c r="A797" s="6">
        <v>2025.0</v>
      </c>
      <c r="B797" s="6" t="s">
        <v>339</v>
      </c>
      <c r="C797" s="1" t="s">
        <v>284</v>
      </c>
      <c r="F797" s="6" t="s">
        <v>213</v>
      </c>
      <c r="H797" s="6" t="s">
        <v>386</v>
      </c>
      <c r="J797" s="3">
        <v>3155.0</v>
      </c>
      <c r="M797" s="6">
        <v>3980.0</v>
      </c>
      <c r="O797" s="7">
        <f t="shared" si="70"/>
        <v>12556.9</v>
      </c>
      <c r="R797" s="3"/>
    </row>
    <row r="798">
      <c r="A798" s="6">
        <v>2025.0</v>
      </c>
      <c r="B798" s="6" t="s">
        <v>339</v>
      </c>
      <c r="C798" s="1" t="s">
        <v>284</v>
      </c>
      <c r="F798" s="6" t="s">
        <v>213</v>
      </c>
      <c r="H798" s="6" t="s">
        <v>451</v>
      </c>
      <c r="L798" s="6">
        <v>1.0</v>
      </c>
      <c r="M798" s="6">
        <v>8990.0</v>
      </c>
      <c r="O798" s="7">
        <f t="shared" ref="O798:O806" si="71">M798*L798</f>
        <v>8990</v>
      </c>
    </row>
    <row r="799">
      <c r="A799" s="6">
        <v>2025.0</v>
      </c>
      <c r="B799" s="6" t="s">
        <v>339</v>
      </c>
      <c r="C799" s="1" t="s">
        <v>284</v>
      </c>
      <c r="F799" s="6" t="s">
        <v>213</v>
      </c>
      <c r="H799" s="6" t="s">
        <v>459</v>
      </c>
      <c r="L799" s="6">
        <v>1.0</v>
      </c>
      <c r="M799" s="6">
        <v>5400.0</v>
      </c>
      <c r="O799" s="7">
        <f t="shared" si="71"/>
        <v>5400</v>
      </c>
    </row>
    <row r="800">
      <c r="A800" s="6">
        <v>2025.0</v>
      </c>
      <c r="B800" s="6" t="s">
        <v>339</v>
      </c>
      <c r="C800" s="1" t="s">
        <v>284</v>
      </c>
      <c r="F800" s="6" t="s">
        <v>213</v>
      </c>
      <c r="H800" s="6" t="s">
        <v>459</v>
      </c>
      <c r="L800" s="6">
        <v>1.0</v>
      </c>
      <c r="M800" s="6">
        <v>5400.0</v>
      </c>
      <c r="O800" s="7">
        <f t="shared" si="71"/>
        <v>5400</v>
      </c>
    </row>
    <row r="801">
      <c r="A801" s="6">
        <v>2025.0</v>
      </c>
      <c r="B801" s="6" t="s">
        <v>339</v>
      </c>
      <c r="C801" s="1" t="s">
        <v>284</v>
      </c>
      <c r="F801" s="6" t="s">
        <v>213</v>
      </c>
      <c r="H801" s="6" t="s">
        <v>459</v>
      </c>
      <c r="L801" s="6">
        <v>1.0</v>
      </c>
      <c r="M801" s="6">
        <v>5400.0</v>
      </c>
      <c r="O801" s="7">
        <f t="shared" si="71"/>
        <v>5400</v>
      </c>
    </row>
    <row r="802">
      <c r="A802" s="6">
        <v>2025.0</v>
      </c>
      <c r="B802" s="6" t="s">
        <v>339</v>
      </c>
      <c r="C802" s="1" t="s">
        <v>284</v>
      </c>
      <c r="F802" s="6" t="s">
        <v>213</v>
      </c>
      <c r="H802" s="6" t="s">
        <v>459</v>
      </c>
      <c r="L802" s="6">
        <v>1.0</v>
      </c>
      <c r="M802" s="6">
        <v>5400.0</v>
      </c>
      <c r="O802" s="7">
        <f t="shared" si="71"/>
        <v>5400</v>
      </c>
    </row>
    <row r="803">
      <c r="A803" s="6">
        <v>2025.0</v>
      </c>
      <c r="B803" s="6" t="s">
        <v>339</v>
      </c>
      <c r="C803" s="1" t="s">
        <v>284</v>
      </c>
      <c r="F803" s="6" t="s">
        <v>213</v>
      </c>
      <c r="H803" s="6" t="s">
        <v>396</v>
      </c>
      <c r="L803" s="6">
        <v>1.0</v>
      </c>
      <c r="M803" s="6">
        <v>4290.0</v>
      </c>
      <c r="O803" s="7">
        <f t="shared" si="71"/>
        <v>4290</v>
      </c>
    </row>
    <row r="804">
      <c r="A804" s="6">
        <v>2025.0</v>
      </c>
      <c r="B804" s="6" t="s">
        <v>339</v>
      </c>
      <c r="C804" s="1" t="s">
        <v>284</v>
      </c>
      <c r="F804" s="6" t="s">
        <v>213</v>
      </c>
      <c r="H804" s="6" t="s">
        <v>425</v>
      </c>
      <c r="L804" s="6">
        <v>1.0</v>
      </c>
      <c r="M804" s="6">
        <v>1990.0</v>
      </c>
      <c r="O804" s="7">
        <f t="shared" si="71"/>
        <v>1990</v>
      </c>
    </row>
    <row r="805">
      <c r="A805" s="6">
        <v>2025.0</v>
      </c>
      <c r="B805" s="6" t="s">
        <v>339</v>
      </c>
      <c r="C805" s="1" t="s">
        <v>284</v>
      </c>
      <c r="F805" s="6" t="s">
        <v>213</v>
      </c>
      <c r="H805" s="6" t="s">
        <v>410</v>
      </c>
      <c r="L805" s="6">
        <v>1.0</v>
      </c>
      <c r="M805" s="6">
        <v>2850.0</v>
      </c>
      <c r="O805" s="7">
        <f t="shared" si="71"/>
        <v>2850</v>
      </c>
    </row>
    <row r="806">
      <c r="A806" s="6">
        <v>2025.0</v>
      </c>
      <c r="B806" s="6" t="s">
        <v>339</v>
      </c>
      <c r="C806" s="1" t="s">
        <v>284</v>
      </c>
      <c r="F806" s="6" t="s">
        <v>213</v>
      </c>
      <c r="H806" s="6" t="s">
        <v>411</v>
      </c>
      <c r="L806" s="6">
        <v>1.0</v>
      </c>
      <c r="M806" s="6">
        <v>2800.0</v>
      </c>
      <c r="O806" s="7">
        <f t="shared" si="71"/>
        <v>2800</v>
      </c>
    </row>
    <row r="807">
      <c r="A807" s="6">
        <v>2025.0</v>
      </c>
      <c r="B807" s="6" t="s">
        <v>339</v>
      </c>
      <c r="C807" s="1" t="s">
        <v>284</v>
      </c>
      <c r="F807" s="6" t="s">
        <v>213</v>
      </c>
      <c r="H807" s="6" t="s">
        <v>400</v>
      </c>
      <c r="J807" s="3">
        <v>3445.0</v>
      </c>
      <c r="M807" s="6">
        <v>10980.0</v>
      </c>
      <c r="O807" s="7">
        <f t="shared" ref="O807:O823" si="72">M807*J807/1000</f>
        <v>37826.1</v>
      </c>
      <c r="R807" s="3"/>
    </row>
    <row r="808">
      <c r="A808" s="6">
        <v>2025.0</v>
      </c>
      <c r="B808" s="6" t="s">
        <v>339</v>
      </c>
      <c r="C808" s="1" t="s">
        <v>284</v>
      </c>
      <c r="F808" s="6" t="s">
        <v>213</v>
      </c>
      <c r="H808" s="6" t="s">
        <v>400</v>
      </c>
      <c r="J808" s="3">
        <v>3235.0</v>
      </c>
      <c r="M808" s="6">
        <v>10980.0</v>
      </c>
      <c r="O808" s="7">
        <f t="shared" si="72"/>
        <v>35520.3</v>
      </c>
      <c r="R808" s="3"/>
    </row>
    <row r="809">
      <c r="A809" s="6">
        <v>2025.0</v>
      </c>
      <c r="B809" s="6" t="s">
        <v>339</v>
      </c>
      <c r="C809" s="1" t="s">
        <v>284</v>
      </c>
      <c r="F809" s="6" t="s">
        <v>213</v>
      </c>
      <c r="H809" s="6" t="s">
        <v>419</v>
      </c>
      <c r="J809" s="3">
        <v>814.0</v>
      </c>
      <c r="M809" s="6">
        <v>16780.0</v>
      </c>
      <c r="O809" s="7">
        <f t="shared" si="72"/>
        <v>13658.92</v>
      </c>
      <c r="R809" s="3"/>
    </row>
    <row r="810">
      <c r="A810" s="6">
        <v>2025.0</v>
      </c>
      <c r="B810" s="6" t="s">
        <v>339</v>
      </c>
      <c r="C810" s="1" t="s">
        <v>284</v>
      </c>
      <c r="F810" s="6" t="s">
        <v>213</v>
      </c>
      <c r="H810" s="6" t="s">
        <v>429</v>
      </c>
      <c r="J810" s="3">
        <v>1000.0</v>
      </c>
      <c r="M810" s="6">
        <v>22580.0</v>
      </c>
      <c r="O810" s="7">
        <f t="shared" si="72"/>
        <v>22580</v>
      </c>
      <c r="R810" s="3"/>
    </row>
    <row r="811">
      <c r="A811" s="6">
        <v>2025.0</v>
      </c>
      <c r="B811" s="6" t="s">
        <v>339</v>
      </c>
      <c r="C811" s="1" t="s">
        <v>284</v>
      </c>
      <c r="F811" s="6" t="s">
        <v>213</v>
      </c>
      <c r="H811" s="6" t="s">
        <v>460</v>
      </c>
      <c r="J811" s="3">
        <v>980.0</v>
      </c>
      <c r="M811" s="6">
        <v>27380.0</v>
      </c>
      <c r="O811" s="7">
        <f t="shared" si="72"/>
        <v>26832.4</v>
      </c>
      <c r="R811" s="3"/>
    </row>
    <row r="812">
      <c r="A812" s="6">
        <v>2025.0</v>
      </c>
      <c r="B812" s="6" t="s">
        <v>339</v>
      </c>
      <c r="C812" s="1" t="s">
        <v>284</v>
      </c>
      <c r="F812" s="6" t="s">
        <v>213</v>
      </c>
      <c r="H812" s="6" t="s">
        <v>438</v>
      </c>
      <c r="J812" s="3">
        <v>992.0</v>
      </c>
      <c r="M812" s="6">
        <v>32980.0</v>
      </c>
      <c r="O812" s="7">
        <f t="shared" si="72"/>
        <v>32716.16</v>
      </c>
      <c r="R812" s="3"/>
    </row>
    <row r="813">
      <c r="A813" s="6">
        <v>2025.0</v>
      </c>
      <c r="B813" s="6" t="s">
        <v>339</v>
      </c>
      <c r="C813" s="1" t="s">
        <v>284</v>
      </c>
      <c r="F813" s="6" t="s">
        <v>213</v>
      </c>
      <c r="H813" s="6" t="s">
        <v>414</v>
      </c>
      <c r="J813" s="3">
        <v>990.0</v>
      </c>
      <c r="M813" s="6">
        <v>26980.0</v>
      </c>
      <c r="O813" s="7">
        <f t="shared" si="72"/>
        <v>26710.2</v>
      </c>
      <c r="R813" s="3"/>
    </row>
    <row r="814">
      <c r="A814" s="6">
        <v>2025.0</v>
      </c>
      <c r="B814" s="6" t="s">
        <v>339</v>
      </c>
      <c r="C814" s="1" t="s">
        <v>284</v>
      </c>
      <c r="F814" s="6" t="s">
        <v>213</v>
      </c>
      <c r="H814" s="6" t="s">
        <v>377</v>
      </c>
      <c r="J814" s="3">
        <v>1400.0</v>
      </c>
      <c r="M814" s="6">
        <v>2580.0</v>
      </c>
      <c r="O814" s="7">
        <f t="shared" si="72"/>
        <v>3612</v>
      </c>
      <c r="R814" s="3"/>
    </row>
    <row r="815">
      <c r="A815" s="6">
        <v>2025.0</v>
      </c>
      <c r="B815" s="6" t="s">
        <v>339</v>
      </c>
      <c r="C815" s="1" t="s">
        <v>284</v>
      </c>
      <c r="F815" s="6" t="s">
        <v>213</v>
      </c>
      <c r="H815" s="6" t="s">
        <v>447</v>
      </c>
      <c r="J815" s="3">
        <v>870.0</v>
      </c>
      <c r="M815" s="6">
        <v>3900.0</v>
      </c>
      <c r="O815" s="7">
        <f t="shared" si="72"/>
        <v>3393</v>
      </c>
      <c r="R815" s="3"/>
    </row>
    <row r="816">
      <c r="A816" s="6">
        <v>2025.0</v>
      </c>
      <c r="B816" s="6" t="s">
        <v>339</v>
      </c>
      <c r="C816" s="1" t="s">
        <v>284</v>
      </c>
      <c r="F816" s="6" t="s">
        <v>213</v>
      </c>
      <c r="H816" s="6" t="s">
        <v>380</v>
      </c>
      <c r="J816" s="3">
        <v>540.0</v>
      </c>
      <c r="M816" s="6">
        <v>4780.0</v>
      </c>
      <c r="O816" s="7">
        <f t="shared" si="72"/>
        <v>2581.2</v>
      </c>
      <c r="R816" s="3"/>
    </row>
    <row r="817">
      <c r="A817" s="6">
        <v>2025.0</v>
      </c>
      <c r="B817" s="6" t="s">
        <v>339</v>
      </c>
      <c r="C817" s="1" t="s">
        <v>284</v>
      </c>
      <c r="F817" s="6" t="s">
        <v>213</v>
      </c>
      <c r="H817" s="6" t="s">
        <v>378</v>
      </c>
      <c r="J817" s="3">
        <v>3325.0</v>
      </c>
      <c r="M817" s="6">
        <v>3180.0</v>
      </c>
      <c r="O817" s="7">
        <f t="shared" si="72"/>
        <v>10573.5</v>
      </c>
      <c r="R817" s="3"/>
    </row>
    <row r="818">
      <c r="A818" s="6">
        <v>2025.0</v>
      </c>
      <c r="B818" s="6" t="s">
        <v>339</v>
      </c>
      <c r="C818" s="1" t="s">
        <v>284</v>
      </c>
      <c r="F818" s="6" t="s">
        <v>213</v>
      </c>
      <c r="H818" s="6" t="s">
        <v>412</v>
      </c>
      <c r="J818" s="3">
        <v>1950.0</v>
      </c>
      <c r="M818" s="6">
        <v>1300.0</v>
      </c>
      <c r="O818" s="7">
        <f t="shared" si="72"/>
        <v>2535</v>
      </c>
      <c r="R818" s="3"/>
    </row>
    <row r="819">
      <c r="A819" s="6">
        <v>2025.0</v>
      </c>
      <c r="B819" s="6" t="s">
        <v>339</v>
      </c>
      <c r="C819" s="1" t="s">
        <v>284</v>
      </c>
      <c r="F819" s="6" t="s">
        <v>213</v>
      </c>
      <c r="H819" s="6" t="s">
        <v>448</v>
      </c>
      <c r="J819" s="3">
        <v>495.0</v>
      </c>
      <c r="M819" s="6">
        <v>4780.0</v>
      </c>
      <c r="O819" s="7">
        <f t="shared" si="72"/>
        <v>2366.1</v>
      </c>
      <c r="R819" s="3"/>
    </row>
    <row r="820">
      <c r="A820" s="6">
        <v>2025.0</v>
      </c>
      <c r="B820" s="6" t="s">
        <v>339</v>
      </c>
      <c r="C820" s="1" t="s">
        <v>284</v>
      </c>
      <c r="F820" s="6" t="s">
        <v>213</v>
      </c>
      <c r="H820" s="6" t="s">
        <v>435</v>
      </c>
      <c r="J820" s="3">
        <v>290.0</v>
      </c>
      <c r="M820" s="6">
        <v>4980.0</v>
      </c>
      <c r="O820" s="7">
        <f t="shared" si="72"/>
        <v>1444.2</v>
      </c>
      <c r="R820" s="3"/>
    </row>
    <row r="821">
      <c r="A821" s="6">
        <v>2025.0</v>
      </c>
      <c r="B821" s="6" t="s">
        <v>339</v>
      </c>
      <c r="C821" s="1" t="s">
        <v>284</v>
      </c>
      <c r="F821" s="6" t="s">
        <v>213</v>
      </c>
      <c r="H821" s="6" t="s">
        <v>388</v>
      </c>
      <c r="J821" s="3">
        <v>605.0</v>
      </c>
      <c r="M821" s="6">
        <v>5780.0</v>
      </c>
      <c r="O821" s="7">
        <f t="shared" si="72"/>
        <v>3496.9</v>
      </c>
      <c r="R821" s="3"/>
    </row>
    <row r="822">
      <c r="A822" s="6">
        <v>2025.0</v>
      </c>
      <c r="B822" s="6" t="s">
        <v>339</v>
      </c>
      <c r="C822" s="1" t="s">
        <v>284</v>
      </c>
      <c r="F822" s="6" t="s">
        <v>213</v>
      </c>
      <c r="H822" s="6" t="s">
        <v>384</v>
      </c>
      <c r="J822" s="3">
        <v>270.0</v>
      </c>
      <c r="M822" s="6">
        <v>7580.0</v>
      </c>
      <c r="O822" s="7">
        <f t="shared" si="72"/>
        <v>2046.6</v>
      </c>
      <c r="R822" s="3"/>
    </row>
    <row r="823">
      <c r="A823" s="6">
        <v>2025.0</v>
      </c>
      <c r="B823" s="6" t="s">
        <v>339</v>
      </c>
      <c r="C823" s="1" t="s">
        <v>284</v>
      </c>
      <c r="F823" s="6" t="s">
        <v>213</v>
      </c>
      <c r="H823" s="6" t="s">
        <v>387</v>
      </c>
      <c r="J823" s="3">
        <v>1140.0</v>
      </c>
      <c r="M823" s="6">
        <v>3700.0</v>
      </c>
      <c r="O823" s="7">
        <f t="shared" si="72"/>
        <v>4218</v>
      </c>
      <c r="R823" s="3"/>
    </row>
    <row r="824">
      <c r="A824" s="24" t="s">
        <v>204</v>
      </c>
      <c r="B824" s="24"/>
      <c r="C824" s="24"/>
      <c r="D824" s="24"/>
      <c r="E824" s="24"/>
      <c r="F824" s="25"/>
      <c r="G824" s="25"/>
      <c r="H824" s="25"/>
      <c r="I824" s="25"/>
      <c r="J824" s="25"/>
      <c r="K824" s="25"/>
      <c r="L824" s="25"/>
      <c r="M824" s="25"/>
      <c r="N824" s="28" t="str">
        <f>CHANGE(O771,O824)</f>
        <v>#NAME?</v>
      </c>
      <c r="O824" s="26">
        <f>SUM(O792:O823)</f>
        <v>343024.88</v>
      </c>
    </row>
    <row r="825">
      <c r="A825" s="6">
        <v>2025.0</v>
      </c>
      <c r="B825" s="6" t="s">
        <v>173</v>
      </c>
      <c r="C825" s="1" t="s">
        <v>205</v>
      </c>
      <c r="F825" s="6" t="s">
        <v>213</v>
      </c>
      <c r="H825" s="6" t="s">
        <v>448</v>
      </c>
      <c r="J825" s="3">
        <v>515.0</v>
      </c>
      <c r="M825" s="6">
        <v>5200.0</v>
      </c>
      <c r="O825" s="7">
        <f t="shared" ref="O825:O832" si="73">M825*J825/1000</f>
        <v>2678</v>
      </c>
      <c r="R825" s="3"/>
    </row>
    <row r="826">
      <c r="A826" s="6">
        <v>2025.0</v>
      </c>
      <c r="B826" s="6" t="s">
        <v>173</v>
      </c>
      <c r="C826" s="1" t="s">
        <v>205</v>
      </c>
      <c r="F826" s="6" t="s">
        <v>213</v>
      </c>
      <c r="H826" s="6" t="s">
        <v>386</v>
      </c>
      <c r="J826" s="3">
        <v>2665.0</v>
      </c>
      <c r="M826" s="6">
        <v>1980.0</v>
      </c>
      <c r="O826" s="7">
        <f t="shared" si="73"/>
        <v>5276.7</v>
      </c>
      <c r="R826" s="3"/>
    </row>
    <row r="827">
      <c r="A827" s="6">
        <v>2025.0</v>
      </c>
      <c r="B827" s="6" t="s">
        <v>173</v>
      </c>
      <c r="C827" s="1" t="s">
        <v>205</v>
      </c>
      <c r="F827" s="6" t="s">
        <v>213</v>
      </c>
      <c r="H827" s="6" t="s">
        <v>384</v>
      </c>
      <c r="J827" s="3">
        <v>275.0</v>
      </c>
      <c r="M827" s="6">
        <v>7980.0</v>
      </c>
      <c r="O827" s="7">
        <f t="shared" si="73"/>
        <v>2194.5</v>
      </c>
      <c r="R827" s="3"/>
    </row>
    <row r="828">
      <c r="A828" s="6">
        <v>2025.0</v>
      </c>
      <c r="B828" s="6" t="s">
        <v>173</v>
      </c>
      <c r="C828" s="1" t="s">
        <v>205</v>
      </c>
      <c r="F828" s="6" t="s">
        <v>213</v>
      </c>
      <c r="H828" s="6" t="s">
        <v>435</v>
      </c>
      <c r="J828" s="3">
        <v>240.0</v>
      </c>
      <c r="M828" s="6">
        <v>4980.0</v>
      </c>
      <c r="O828" s="7">
        <f t="shared" si="73"/>
        <v>1195.2</v>
      </c>
      <c r="R828" s="3"/>
    </row>
    <row r="829">
      <c r="A829" s="6">
        <v>2025.0</v>
      </c>
      <c r="B829" s="6" t="s">
        <v>173</v>
      </c>
      <c r="C829" s="1" t="s">
        <v>205</v>
      </c>
      <c r="F829" s="6" t="s">
        <v>213</v>
      </c>
      <c r="H829" s="6" t="s">
        <v>386</v>
      </c>
      <c r="J829" s="3">
        <v>1080.0</v>
      </c>
      <c r="M829" s="6">
        <v>1980.0</v>
      </c>
      <c r="O829" s="7">
        <f t="shared" si="73"/>
        <v>2138.4</v>
      </c>
      <c r="R829" s="3"/>
    </row>
    <row r="830">
      <c r="A830" s="6">
        <v>2025.0</v>
      </c>
      <c r="B830" s="6" t="s">
        <v>173</v>
      </c>
      <c r="C830" s="1" t="s">
        <v>205</v>
      </c>
      <c r="F830" s="6" t="s">
        <v>213</v>
      </c>
      <c r="H830" s="6" t="s">
        <v>388</v>
      </c>
      <c r="J830" s="3">
        <v>1605.0</v>
      </c>
      <c r="M830" s="6">
        <v>5780.0</v>
      </c>
      <c r="O830" s="7">
        <f t="shared" si="73"/>
        <v>9276.9</v>
      </c>
      <c r="R830" s="3"/>
    </row>
    <row r="831">
      <c r="A831" s="6">
        <v>2025.0</v>
      </c>
      <c r="B831" s="6" t="s">
        <v>173</v>
      </c>
      <c r="C831" s="1" t="s">
        <v>205</v>
      </c>
      <c r="F831" s="6" t="s">
        <v>213</v>
      </c>
      <c r="H831" s="6" t="s">
        <v>461</v>
      </c>
      <c r="J831" s="3">
        <v>740.0</v>
      </c>
      <c r="M831" s="6">
        <v>2580.0</v>
      </c>
      <c r="O831" s="7">
        <f t="shared" si="73"/>
        <v>1909.2</v>
      </c>
      <c r="R831" s="3"/>
    </row>
    <row r="832">
      <c r="A832" s="6">
        <v>2025.0</v>
      </c>
      <c r="B832" s="6" t="s">
        <v>173</v>
      </c>
      <c r="C832" s="1" t="s">
        <v>205</v>
      </c>
      <c r="F832" s="6" t="s">
        <v>213</v>
      </c>
      <c r="H832" s="6" t="s">
        <v>387</v>
      </c>
      <c r="J832" s="3">
        <v>1250.0</v>
      </c>
      <c r="M832" s="6">
        <v>3700.0</v>
      </c>
      <c r="O832" s="7">
        <f t="shared" si="73"/>
        <v>4625</v>
      </c>
      <c r="R832" s="3"/>
    </row>
    <row r="833">
      <c r="A833" s="6">
        <v>2025.0</v>
      </c>
      <c r="B833" s="6" t="s">
        <v>173</v>
      </c>
      <c r="C833" s="1" t="s">
        <v>205</v>
      </c>
      <c r="F833" s="6" t="s">
        <v>213</v>
      </c>
      <c r="H833" s="6" t="s">
        <v>462</v>
      </c>
      <c r="L833" s="6">
        <v>1.0</v>
      </c>
      <c r="M833" s="6">
        <v>1990.0</v>
      </c>
      <c r="O833" s="7">
        <f t="shared" ref="O833:O839" si="74">M833*L833</f>
        <v>1990</v>
      </c>
    </row>
    <row r="834">
      <c r="A834" s="6">
        <v>2025.0</v>
      </c>
      <c r="B834" s="6" t="s">
        <v>173</v>
      </c>
      <c r="C834" s="1" t="s">
        <v>205</v>
      </c>
      <c r="F834" s="6" t="s">
        <v>213</v>
      </c>
      <c r="H834" s="6" t="s">
        <v>394</v>
      </c>
      <c r="L834" s="6">
        <v>1.0</v>
      </c>
      <c r="M834" s="6">
        <v>15990.0</v>
      </c>
      <c r="O834" s="7">
        <f t="shared" si="74"/>
        <v>15990</v>
      </c>
    </row>
    <row r="835">
      <c r="A835" s="6">
        <v>2025.0</v>
      </c>
      <c r="B835" s="6" t="s">
        <v>173</v>
      </c>
      <c r="C835" s="1" t="s">
        <v>205</v>
      </c>
      <c r="F835" s="6" t="s">
        <v>213</v>
      </c>
      <c r="H835" s="6" t="s">
        <v>394</v>
      </c>
      <c r="L835" s="6">
        <v>1.0</v>
      </c>
      <c r="M835" s="6">
        <v>15990.0</v>
      </c>
      <c r="O835" s="7">
        <f t="shared" si="74"/>
        <v>15990</v>
      </c>
    </row>
    <row r="836">
      <c r="A836" s="6">
        <v>2025.0</v>
      </c>
      <c r="B836" s="6" t="s">
        <v>173</v>
      </c>
      <c r="C836" s="1" t="s">
        <v>205</v>
      </c>
      <c r="F836" s="6" t="s">
        <v>213</v>
      </c>
      <c r="H836" s="6" t="s">
        <v>425</v>
      </c>
      <c r="L836" s="6">
        <v>1.0</v>
      </c>
      <c r="M836" s="6">
        <v>1990.0</v>
      </c>
      <c r="O836" s="7">
        <f t="shared" si="74"/>
        <v>1990</v>
      </c>
    </row>
    <row r="837">
      <c r="A837" s="6">
        <v>2025.0</v>
      </c>
      <c r="B837" s="6" t="s">
        <v>173</v>
      </c>
      <c r="C837" s="1" t="s">
        <v>205</v>
      </c>
      <c r="F837" s="6" t="s">
        <v>213</v>
      </c>
      <c r="H837" s="6" t="s">
        <v>411</v>
      </c>
      <c r="L837" s="6">
        <v>1.0</v>
      </c>
      <c r="M837" s="6">
        <v>2800.0</v>
      </c>
      <c r="O837" s="7">
        <f t="shared" si="74"/>
        <v>2800</v>
      </c>
    </row>
    <row r="838">
      <c r="A838" s="6">
        <v>2025.0</v>
      </c>
      <c r="B838" s="6" t="s">
        <v>173</v>
      </c>
      <c r="C838" s="1" t="s">
        <v>205</v>
      </c>
      <c r="F838" s="6" t="s">
        <v>213</v>
      </c>
      <c r="H838" s="6" t="s">
        <v>396</v>
      </c>
      <c r="L838" s="6">
        <v>1.0</v>
      </c>
      <c r="M838" s="6">
        <v>4190.0</v>
      </c>
      <c r="O838" s="7">
        <f t="shared" si="74"/>
        <v>4190</v>
      </c>
    </row>
    <row r="839">
      <c r="A839" s="6">
        <v>2025.0</v>
      </c>
      <c r="B839" s="6" t="s">
        <v>173</v>
      </c>
      <c r="C839" s="1" t="s">
        <v>205</v>
      </c>
      <c r="F839" s="6" t="s">
        <v>213</v>
      </c>
      <c r="H839" s="6" t="s">
        <v>397</v>
      </c>
      <c r="L839" s="6">
        <v>1.0</v>
      </c>
      <c r="M839" s="6">
        <v>1890.0</v>
      </c>
      <c r="O839" s="7">
        <f t="shared" si="74"/>
        <v>1890</v>
      </c>
    </row>
    <row r="840">
      <c r="A840" s="6">
        <v>2025.0</v>
      </c>
      <c r="B840" s="6" t="s">
        <v>173</v>
      </c>
      <c r="C840" s="1" t="s">
        <v>205</v>
      </c>
      <c r="F840" s="6" t="s">
        <v>213</v>
      </c>
      <c r="H840" s="6" t="s">
        <v>377</v>
      </c>
      <c r="J840" s="3">
        <v>1100.0</v>
      </c>
      <c r="M840" s="6">
        <v>2980.0</v>
      </c>
      <c r="O840" s="7">
        <f t="shared" ref="O840:O841" si="75">M840*J840/1000</f>
        <v>3278</v>
      </c>
      <c r="R840" s="3"/>
    </row>
    <row r="841">
      <c r="A841" s="6">
        <v>2025.0</v>
      </c>
      <c r="B841" s="6" t="s">
        <v>173</v>
      </c>
      <c r="C841" s="1" t="s">
        <v>205</v>
      </c>
      <c r="F841" s="6" t="s">
        <v>213</v>
      </c>
      <c r="H841" s="6" t="s">
        <v>461</v>
      </c>
      <c r="J841" s="3">
        <v>540.0</v>
      </c>
      <c r="M841" s="6">
        <v>2580.0</v>
      </c>
      <c r="O841" s="7">
        <f t="shared" si="75"/>
        <v>1393.2</v>
      </c>
      <c r="R841" s="3"/>
    </row>
    <row r="842">
      <c r="A842" s="6">
        <v>2025.0</v>
      </c>
      <c r="B842" s="6" t="s">
        <v>173</v>
      </c>
      <c r="C842" s="1" t="s">
        <v>205</v>
      </c>
      <c r="F842" s="6" t="s">
        <v>213</v>
      </c>
      <c r="H842" s="6" t="s">
        <v>392</v>
      </c>
      <c r="L842" s="6">
        <v>1.0</v>
      </c>
      <c r="M842" s="6">
        <v>1500.0</v>
      </c>
      <c r="O842" s="7">
        <f t="shared" ref="O842:O845" si="76">M842*L842</f>
        <v>1500</v>
      </c>
    </row>
    <row r="843">
      <c r="A843" s="6">
        <v>2025.0</v>
      </c>
      <c r="B843" s="6" t="s">
        <v>173</v>
      </c>
      <c r="C843" s="1" t="s">
        <v>205</v>
      </c>
      <c r="F843" s="6" t="s">
        <v>213</v>
      </c>
      <c r="H843" s="6" t="s">
        <v>451</v>
      </c>
      <c r="L843" s="6">
        <v>1.0</v>
      </c>
      <c r="M843" s="6">
        <v>7990.0</v>
      </c>
      <c r="O843" s="7">
        <f t="shared" si="76"/>
        <v>7990</v>
      </c>
    </row>
    <row r="844">
      <c r="A844" s="6">
        <v>2025.0</v>
      </c>
      <c r="B844" s="6" t="s">
        <v>173</v>
      </c>
      <c r="C844" s="1" t="s">
        <v>205</v>
      </c>
      <c r="F844" s="6" t="s">
        <v>213</v>
      </c>
      <c r="H844" s="6" t="s">
        <v>463</v>
      </c>
      <c r="L844" s="6">
        <v>1.0</v>
      </c>
      <c r="M844" s="6">
        <v>14350.0</v>
      </c>
      <c r="O844" s="7">
        <f t="shared" si="76"/>
        <v>14350</v>
      </c>
    </row>
    <row r="845">
      <c r="A845" s="6">
        <v>2025.0</v>
      </c>
      <c r="B845" s="6" t="s">
        <v>173</v>
      </c>
      <c r="C845" s="1" t="s">
        <v>205</v>
      </c>
      <c r="F845" s="6" t="s">
        <v>213</v>
      </c>
      <c r="H845" s="6" t="s">
        <v>408</v>
      </c>
      <c r="L845" s="6">
        <v>1.0</v>
      </c>
      <c r="M845" s="6">
        <v>19990.0</v>
      </c>
      <c r="O845" s="7">
        <f t="shared" si="76"/>
        <v>19990</v>
      </c>
    </row>
    <row r="846">
      <c r="A846" s="6">
        <v>2025.0</v>
      </c>
      <c r="B846" s="6" t="s">
        <v>173</v>
      </c>
      <c r="C846" s="1" t="s">
        <v>205</v>
      </c>
      <c r="F846" s="6" t="s">
        <v>213</v>
      </c>
      <c r="H846" s="6" t="s">
        <v>412</v>
      </c>
      <c r="J846" s="3">
        <v>2260.0</v>
      </c>
      <c r="M846" s="6">
        <v>900.0</v>
      </c>
      <c r="O846" s="7">
        <f t="shared" ref="O846:O866" si="77">M846*J846/1000</f>
        <v>2034</v>
      </c>
      <c r="R846" s="3"/>
    </row>
    <row r="847">
      <c r="A847" s="6">
        <v>2025.0</v>
      </c>
      <c r="B847" s="6" t="s">
        <v>173</v>
      </c>
      <c r="C847" s="1" t="s">
        <v>205</v>
      </c>
      <c r="F847" s="6" t="s">
        <v>213</v>
      </c>
      <c r="H847" s="6" t="s">
        <v>412</v>
      </c>
      <c r="J847" s="3">
        <v>2350.0</v>
      </c>
      <c r="M847" s="6">
        <v>900.0</v>
      </c>
      <c r="O847" s="7">
        <f t="shared" si="77"/>
        <v>2115</v>
      </c>
      <c r="R847" s="3"/>
    </row>
    <row r="848">
      <c r="A848" s="6">
        <v>2025.0</v>
      </c>
      <c r="B848" s="6" t="s">
        <v>173</v>
      </c>
      <c r="C848" s="1" t="s">
        <v>205</v>
      </c>
      <c r="F848" s="6" t="s">
        <v>213</v>
      </c>
      <c r="H848" s="6" t="s">
        <v>378</v>
      </c>
      <c r="J848" s="3">
        <v>2555.0</v>
      </c>
      <c r="M848" s="6">
        <v>2300.0</v>
      </c>
      <c r="O848" s="7">
        <f t="shared" si="77"/>
        <v>5876.5</v>
      </c>
      <c r="R848" s="3"/>
    </row>
    <row r="849">
      <c r="A849" s="6">
        <v>2025.0</v>
      </c>
      <c r="B849" s="6" t="s">
        <v>173</v>
      </c>
      <c r="C849" s="1" t="s">
        <v>205</v>
      </c>
      <c r="F849" s="6" t="s">
        <v>213</v>
      </c>
      <c r="H849" s="6" t="s">
        <v>400</v>
      </c>
      <c r="J849" s="3">
        <v>2975.0</v>
      </c>
      <c r="M849" s="6">
        <v>7980.0</v>
      </c>
      <c r="O849" s="7">
        <f t="shared" si="77"/>
        <v>23740.5</v>
      </c>
      <c r="R849" s="3"/>
    </row>
    <row r="850">
      <c r="A850" s="6">
        <v>2025.0</v>
      </c>
      <c r="B850" s="6" t="s">
        <v>173</v>
      </c>
      <c r="C850" s="1" t="s">
        <v>205</v>
      </c>
      <c r="F850" s="6" t="s">
        <v>213</v>
      </c>
      <c r="H850" s="6" t="s">
        <v>400</v>
      </c>
      <c r="J850" s="3">
        <v>2680.0</v>
      </c>
      <c r="M850" s="6">
        <v>7980.0</v>
      </c>
      <c r="O850" s="7">
        <f t="shared" si="77"/>
        <v>21386.4</v>
      </c>
      <c r="R850" s="3"/>
    </row>
    <row r="851">
      <c r="A851" s="6">
        <v>2025.0</v>
      </c>
      <c r="B851" s="6" t="s">
        <v>173</v>
      </c>
      <c r="C851" s="1" t="s">
        <v>205</v>
      </c>
      <c r="F851" s="6" t="s">
        <v>213</v>
      </c>
      <c r="H851" s="6" t="s">
        <v>464</v>
      </c>
      <c r="J851" s="3">
        <v>1145.0</v>
      </c>
      <c r="M851" s="6">
        <v>29980.0</v>
      </c>
      <c r="O851" s="7">
        <f t="shared" si="77"/>
        <v>34327.1</v>
      </c>
      <c r="R851" s="3"/>
    </row>
    <row r="852">
      <c r="A852" s="6">
        <v>2025.0</v>
      </c>
      <c r="B852" s="6" t="s">
        <v>173</v>
      </c>
      <c r="C852" s="1" t="s">
        <v>205</v>
      </c>
      <c r="F852" s="6" t="s">
        <v>213</v>
      </c>
      <c r="H852" s="6" t="s">
        <v>438</v>
      </c>
      <c r="J852" s="3">
        <v>1015.0</v>
      </c>
      <c r="M852" s="6">
        <v>32980.0</v>
      </c>
      <c r="O852" s="7">
        <f t="shared" si="77"/>
        <v>33474.7</v>
      </c>
      <c r="R852" s="3"/>
    </row>
    <row r="853">
      <c r="A853" s="6">
        <v>2025.0</v>
      </c>
      <c r="B853" s="6" t="s">
        <v>173</v>
      </c>
      <c r="C853" s="1" t="s">
        <v>205</v>
      </c>
      <c r="F853" s="6" t="s">
        <v>213</v>
      </c>
      <c r="H853" s="6" t="s">
        <v>418</v>
      </c>
      <c r="J853" s="3">
        <v>1200.0</v>
      </c>
      <c r="M853" s="6">
        <v>7980.0</v>
      </c>
      <c r="O853" s="7">
        <f t="shared" si="77"/>
        <v>9576</v>
      </c>
      <c r="R853" s="3"/>
    </row>
    <row r="854">
      <c r="A854" s="6">
        <v>2025.0</v>
      </c>
      <c r="B854" s="6" t="s">
        <v>173</v>
      </c>
      <c r="C854" s="1" t="s">
        <v>205</v>
      </c>
      <c r="F854" s="6" t="s">
        <v>213</v>
      </c>
      <c r="H854" s="6" t="s">
        <v>414</v>
      </c>
      <c r="J854" s="3">
        <v>1000.0</v>
      </c>
      <c r="M854" s="6">
        <v>26980.0</v>
      </c>
      <c r="O854" s="7">
        <f t="shared" si="77"/>
        <v>26980</v>
      </c>
      <c r="R854" s="3"/>
    </row>
    <row r="855">
      <c r="A855" s="6">
        <v>2025.0</v>
      </c>
      <c r="B855" s="6" t="s">
        <v>173</v>
      </c>
      <c r="C855" s="1" t="s">
        <v>205</v>
      </c>
      <c r="F855" s="6" t="s">
        <v>213</v>
      </c>
      <c r="H855" s="6" t="s">
        <v>419</v>
      </c>
      <c r="J855" s="3">
        <v>800.0</v>
      </c>
      <c r="M855" s="6">
        <v>15980.0</v>
      </c>
      <c r="O855" s="7">
        <f t="shared" si="77"/>
        <v>12784</v>
      </c>
      <c r="R855" s="3"/>
    </row>
    <row r="856">
      <c r="A856" s="6">
        <v>2025.0</v>
      </c>
      <c r="B856" s="6" t="s">
        <v>173</v>
      </c>
      <c r="C856" s="1" t="s">
        <v>205</v>
      </c>
      <c r="F856" s="6" t="s">
        <v>213</v>
      </c>
      <c r="H856" s="6" t="s">
        <v>419</v>
      </c>
      <c r="J856" s="3">
        <v>1035.0</v>
      </c>
      <c r="M856" s="6">
        <v>15980.0</v>
      </c>
      <c r="O856" s="7">
        <f t="shared" si="77"/>
        <v>16539.3</v>
      </c>
      <c r="R856" s="3"/>
    </row>
    <row r="857">
      <c r="A857" s="6">
        <v>2025.0</v>
      </c>
      <c r="B857" s="6" t="s">
        <v>173</v>
      </c>
      <c r="C857" s="1" t="s">
        <v>205</v>
      </c>
      <c r="F857" s="6" t="s">
        <v>213</v>
      </c>
      <c r="H857" s="6" t="s">
        <v>447</v>
      </c>
      <c r="J857" s="3">
        <v>900.0</v>
      </c>
      <c r="M857" s="6">
        <v>3780.0</v>
      </c>
      <c r="O857" s="7">
        <f t="shared" si="77"/>
        <v>3402</v>
      </c>
      <c r="R857" s="3"/>
    </row>
    <row r="858">
      <c r="A858" s="6">
        <v>2025.0</v>
      </c>
      <c r="B858" s="6" t="s">
        <v>173</v>
      </c>
      <c r="C858" s="1" t="s">
        <v>205</v>
      </c>
      <c r="F858" s="6" t="s">
        <v>213</v>
      </c>
      <c r="H858" s="6" t="s">
        <v>390</v>
      </c>
      <c r="J858" s="3">
        <v>590.0</v>
      </c>
      <c r="M858" s="6">
        <v>5100.0</v>
      </c>
      <c r="O858" s="7">
        <f t="shared" si="77"/>
        <v>3009</v>
      </c>
      <c r="R858" s="3"/>
    </row>
    <row r="859">
      <c r="A859" s="6">
        <v>2025.0</v>
      </c>
      <c r="B859" s="6" t="s">
        <v>173</v>
      </c>
      <c r="C859" s="1" t="s">
        <v>205</v>
      </c>
      <c r="F859" s="6" t="s">
        <v>213</v>
      </c>
      <c r="H859" s="6" t="s">
        <v>390</v>
      </c>
      <c r="J859" s="3">
        <v>465.0</v>
      </c>
      <c r="M859" s="6">
        <v>5100.0</v>
      </c>
      <c r="O859" s="7">
        <f t="shared" si="77"/>
        <v>2371.5</v>
      </c>
      <c r="R859" s="3"/>
    </row>
    <row r="860">
      <c r="A860" s="6">
        <v>2025.0</v>
      </c>
      <c r="B860" s="6" t="s">
        <v>173</v>
      </c>
      <c r="C860" s="1" t="s">
        <v>205</v>
      </c>
      <c r="F860" s="6" t="s">
        <v>213</v>
      </c>
      <c r="H860" s="6" t="s">
        <v>387</v>
      </c>
      <c r="J860" s="3">
        <v>1210.0</v>
      </c>
      <c r="M860" s="6">
        <v>3700.0</v>
      </c>
      <c r="O860" s="7">
        <f t="shared" si="77"/>
        <v>4477</v>
      </c>
      <c r="R860" s="3"/>
    </row>
    <row r="861">
      <c r="A861" s="6">
        <v>2025.0</v>
      </c>
      <c r="B861" s="6" t="s">
        <v>173</v>
      </c>
      <c r="C861" s="1" t="s">
        <v>205</v>
      </c>
      <c r="F861" s="6" t="s">
        <v>213</v>
      </c>
      <c r="H861" s="6" t="s">
        <v>465</v>
      </c>
      <c r="J861" s="3">
        <v>535.0</v>
      </c>
      <c r="M861" s="6">
        <v>1980.0</v>
      </c>
      <c r="O861" s="7">
        <f t="shared" si="77"/>
        <v>1059.3</v>
      </c>
      <c r="R861" s="3"/>
    </row>
    <row r="862">
      <c r="A862" s="6">
        <v>2025.0</v>
      </c>
      <c r="B862" s="6" t="s">
        <v>173</v>
      </c>
      <c r="C862" s="1" t="s">
        <v>205</v>
      </c>
      <c r="F862" s="6" t="s">
        <v>213</v>
      </c>
      <c r="H862" s="6" t="s">
        <v>379</v>
      </c>
      <c r="J862" s="3">
        <v>1960.0</v>
      </c>
      <c r="M862" s="6">
        <v>2380.0</v>
      </c>
      <c r="O862" s="7">
        <f t="shared" si="77"/>
        <v>4664.8</v>
      </c>
      <c r="R862" s="3"/>
    </row>
    <row r="863">
      <c r="A863" s="6">
        <v>2025.0</v>
      </c>
      <c r="B863" s="6" t="s">
        <v>173</v>
      </c>
      <c r="C863" s="1" t="s">
        <v>205</v>
      </c>
      <c r="F863" s="6" t="s">
        <v>213</v>
      </c>
      <c r="H863" s="6" t="s">
        <v>466</v>
      </c>
      <c r="J863" s="3">
        <v>745.0</v>
      </c>
      <c r="M863" s="6">
        <v>3180.0</v>
      </c>
      <c r="O863" s="7">
        <f t="shared" si="77"/>
        <v>2369.1</v>
      </c>
      <c r="R863" s="3"/>
    </row>
    <row r="864">
      <c r="A864" s="6">
        <v>2025.0</v>
      </c>
      <c r="B864" s="6" t="s">
        <v>173</v>
      </c>
      <c r="C864" s="1" t="s">
        <v>205</v>
      </c>
      <c r="F864" s="6" t="s">
        <v>213</v>
      </c>
      <c r="H864" s="6" t="s">
        <v>380</v>
      </c>
      <c r="J864" s="3">
        <v>790.0</v>
      </c>
      <c r="M864" s="6">
        <v>4180.0</v>
      </c>
      <c r="O864" s="7">
        <f t="shared" si="77"/>
        <v>3302.2</v>
      </c>
      <c r="R864" s="3"/>
    </row>
    <row r="865">
      <c r="A865" s="6">
        <v>2025.0</v>
      </c>
      <c r="B865" s="6" t="s">
        <v>173</v>
      </c>
      <c r="C865" s="1" t="s">
        <v>205</v>
      </c>
      <c r="F865" s="6" t="s">
        <v>213</v>
      </c>
      <c r="H865" s="6" t="s">
        <v>386</v>
      </c>
      <c r="J865" s="3">
        <v>530.0</v>
      </c>
      <c r="M865" s="6">
        <v>1980.0</v>
      </c>
      <c r="O865" s="7">
        <f t="shared" si="77"/>
        <v>1049.4</v>
      </c>
      <c r="R865" s="3"/>
    </row>
    <row r="866">
      <c r="A866" s="6">
        <v>2025.0</v>
      </c>
      <c r="B866" s="6" t="s">
        <v>173</v>
      </c>
      <c r="C866" s="1" t="s">
        <v>205</v>
      </c>
      <c r="F866" s="6" t="s">
        <v>213</v>
      </c>
      <c r="H866" s="6" t="s">
        <v>378</v>
      </c>
      <c r="J866" s="3">
        <v>1215.0</v>
      </c>
      <c r="M866" s="6">
        <v>2300.0</v>
      </c>
      <c r="O866" s="7">
        <f t="shared" si="77"/>
        <v>2794.5</v>
      </c>
      <c r="R866" s="3"/>
    </row>
    <row r="867">
      <c r="A867" s="24" t="s">
        <v>204</v>
      </c>
      <c r="B867" s="24"/>
      <c r="C867" s="24"/>
      <c r="D867" s="24"/>
      <c r="E867" s="24"/>
      <c r="F867" s="25"/>
      <c r="G867" s="25"/>
      <c r="H867" s="25"/>
      <c r="I867" s="25"/>
      <c r="J867" s="25"/>
      <c r="K867" s="25"/>
      <c r="L867" s="25"/>
      <c r="M867" s="25"/>
      <c r="N867" s="28" t="str">
        <f>CHANGE(O814,O867)</f>
        <v>#NAME?</v>
      </c>
      <c r="O867" s="26">
        <f>SUM(O825:O866)</f>
        <v>339967.4</v>
      </c>
    </row>
    <row r="868">
      <c r="A868" s="6">
        <v>2025.0</v>
      </c>
      <c r="B868" s="6" t="s">
        <v>178</v>
      </c>
      <c r="C868" s="1" t="s">
        <v>205</v>
      </c>
      <c r="F868" s="6" t="s">
        <v>213</v>
      </c>
      <c r="H868" s="6" t="s">
        <v>414</v>
      </c>
      <c r="J868" s="3">
        <v>1080.0</v>
      </c>
      <c r="M868" s="6">
        <v>26980.0</v>
      </c>
      <c r="O868" s="7">
        <f t="shared" ref="O868:O891" si="78">M868*J868/1000</f>
        <v>29138.4</v>
      </c>
      <c r="R868" s="3"/>
    </row>
    <row r="869">
      <c r="A869" s="6">
        <v>2025.0</v>
      </c>
      <c r="B869" s="6" t="s">
        <v>178</v>
      </c>
      <c r="C869" s="1" t="s">
        <v>205</v>
      </c>
      <c r="F869" s="6" t="s">
        <v>213</v>
      </c>
      <c r="H869" s="6" t="s">
        <v>438</v>
      </c>
      <c r="J869" s="3">
        <v>1140.0</v>
      </c>
      <c r="M869" s="6">
        <v>34980.0</v>
      </c>
      <c r="O869" s="7">
        <f t="shared" si="78"/>
        <v>39877.2</v>
      </c>
      <c r="R869" s="3"/>
    </row>
    <row r="870">
      <c r="A870" s="6">
        <v>2025.0</v>
      </c>
      <c r="B870" s="6" t="s">
        <v>178</v>
      </c>
      <c r="C870" s="1" t="s">
        <v>205</v>
      </c>
      <c r="F870" s="6" t="s">
        <v>213</v>
      </c>
      <c r="H870" s="6" t="s">
        <v>429</v>
      </c>
      <c r="J870" s="3">
        <v>1080.0</v>
      </c>
      <c r="M870" s="6">
        <v>16980.0</v>
      </c>
      <c r="O870" s="7">
        <f t="shared" si="78"/>
        <v>18338.4</v>
      </c>
      <c r="R870" s="3"/>
    </row>
    <row r="871">
      <c r="A871" s="6">
        <v>2025.0</v>
      </c>
      <c r="B871" s="6" t="s">
        <v>178</v>
      </c>
      <c r="C871" s="1" t="s">
        <v>205</v>
      </c>
      <c r="F871" s="6" t="s">
        <v>213</v>
      </c>
      <c r="H871" s="6" t="s">
        <v>460</v>
      </c>
      <c r="J871" s="3">
        <v>1200.0</v>
      </c>
      <c r="M871" s="6">
        <v>33980.0</v>
      </c>
      <c r="O871" s="7">
        <f t="shared" si="78"/>
        <v>40776</v>
      </c>
      <c r="R871" s="3"/>
    </row>
    <row r="872">
      <c r="A872" s="6">
        <v>2025.0</v>
      </c>
      <c r="B872" s="6" t="s">
        <v>178</v>
      </c>
      <c r="C872" s="1" t="s">
        <v>205</v>
      </c>
      <c r="F872" s="6" t="s">
        <v>213</v>
      </c>
      <c r="H872" s="6" t="s">
        <v>414</v>
      </c>
      <c r="J872" s="3">
        <v>505.0</v>
      </c>
      <c r="M872" s="6">
        <v>26980.0</v>
      </c>
      <c r="O872" s="7">
        <f t="shared" si="78"/>
        <v>13624.9</v>
      </c>
      <c r="R872" s="3"/>
    </row>
    <row r="873">
      <c r="A873" s="6">
        <v>2025.0</v>
      </c>
      <c r="B873" s="6" t="s">
        <v>178</v>
      </c>
      <c r="C873" s="1" t="s">
        <v>205</v>
      </c>
      <c r="F873" s="6" t="s">
        <v>213</v>
      </c>
      <c r="H873" s="6" t="s">
        <v>400</v>
      </c>
      <c r="J873" s="3">
        <v>2920.0</v>
      </c>
      <c r="M873" s="6">
        <v>10980.0</v>
      </c>
      <c r="O873" s="7">
        <f t="shared" si="78"/>
        <v>32061.6</v>
      </c>
      <c r="R873" s="3"/>
    </row>
    <row r="874">
      <c r="A874" s="6">
        <v>2025.0</v>
      </c>
      <c r="B874" s="6" t="s">
        <v>178</v>
      </c>
      <c r="C874" s="1" t="s">
        <v>205</v>
      </c>
      <c r="F874" s="6" t="s">
        <v>213</v>
      </c>
      <c r="H874" s="6" t="s">
        <v>400</v>
      </c>
      <c r="J874" s="3">
        <v>2970.0</v>
      </c>
      <c r="M874" s="6">
        <v>10980.0</v>
      </c>
      <c r="O874" s="7">
        <f t="shared" si="78"/>
        <v>32610.6</v>
      </c>
      <c r="R874" s="3"/>
    </row>
    <row r="875">
      <c r="A875" s="6">
        <v>2025.0</v>
      </c>
      <c r="B875" s="6" t="s">
        <v>178</v>
      </c>
      <c r="C875" s="1" t="s">
        <v>205</v>
      </c>
      <c r="F875" s="6" t="s">
        <v>213</v>
      </c>
      <c r="H875" s="6" t="s">
        <v>378</v>
      </c>
      <c r="J875" s="3">
        <v>3810.0</v>
      </c>
      <c r="M875" s="6">
        <v>1980.0</v>
      </c>
      <c r="O875" s="7">
        <f t="shared" si="78"/>
        <v>7543.8</v>
      </c>
      <c r="R875" s="3"/>
    </row>
    <row r="876">
      <c r="A876" s="6">
        <v>2025.0</v>
      </c>
      <c r="B876" s="6" t="s">
        <v>178</v>
      </c>
      <c r="C876" s="1" t="s">
        <v>205</v>
      </c>
      <c r="F876" s="6" t="s">
        <v>213</v>
      </c>
      <c r="H876" s="6" t="s">
        <v>386</v>
      </c>
      <c r="J876" s="3">
        <v>3950.0</v>
      </c>
      <c r="M876" s="6">
        <v>2980.0</v>
      </c>
      <c r="O876" s="7">
        <f t="shared" si="78"/>
        <v>11771</v>
      </c>
      <c r="R876" s="3"/>
    </row>
    <row r="877">
      <c r="A877" s="6">
        <v>2025.0</v>
      </c>
      <c r="B877" s="6" t="s">
        <v>178</v>
      </c>
      <c r="C877" s="1" t="s">
        <v>205</v>
      </c>
      <c r="F877" s="6" t="s">
        <v>213</v>
      </c>
      <c r="H877" s="6" t="s">
        <v>388</v>
      </c>
      <c r="J877" s="3">
        <v>1540.0</v>
      </c>
      <c r="M877" s="6">
        <v>1980.0</v>
      </c>
      <c r="O877" s="7">
        <f t="shared" si="78"/>
        <v>3049.2</v>
      </c>
      <c r="R877" s="3"/>
    </row>
    <row r="878">
      <c r="A878" s="6">
        <v>2025.0</v>
      </c>
      <c r="B878" s="6" t="s">
        <v>178</v>
      </c>
      <c r="C878" s="1" t="s">
        <v>205</v>
      </c>
      <c r="F878" s="6" t="s">
        <v>213</v>
      </c>
      <c r="H878" s="6" t="s">
        <v>377</v>
      </c>
      <c r="J878" s="3">
        <v>1560.0</v>
      </c>
      <c r="M878" s="6">
        <v>3380.0</v>
      </c>
      <c r="O878" s="7">
        <f t="shared" si="78"/>
        <v>5272.8</v>
      </c>
      <c r="R878" s="3"/>
    </row>
    <row r="879">
      <c r="A879" s="6">
        <v>2025.0</v>
      </c>
      <c r="B879" s="6" t="s">
        <v>178</v>
      </c>
      <c r="C879" s="1" t="s">
        <v>205</v>
      </c>
      <c r="F879" s="6" t="s">
        <v>213</v>
      </c>
      <c r="H879" s="6" t="s">
        <v>390</v>
      </c>
      <c r="J879" s="3">
        <v>730.0</v>
      </c>
      <c r="M879" s="6">
        <v>5380.0</v>
      </c>
      <c r="O879" s="7">
        <f t="shared" si="78"/>
        <v>3927.4</v>
      </c>
      <c r="R879" s="3"/>
    </row>
    <row r="880">
      <c r="A880" s="6">
        <v>2025.0</v>
      </c>
      <c r="B880" s="6" t="s">
        <v>178</v>
      </c>
      <c r="C880" s="1" t="s">
        <v>205</v>
      </c>
      <c r="F880" s="6" t="s">
        <v>213</v>
      </c>
      <c r="H880" s="6" t="s">
        <v>390</v>
      </c>
      <c r="J880" s="3">
        <v>500.0</v>
      </c>
      <c r="M880" s="6">
        <v>5380.0</v>
      </c>
      <c r="O880" s="7">
        <f t="shared" si="78"/>
        <v>2690</v>
      </c>
      <c r="R880" s="3"/>
    </row>
    <row r="881">
      <c r="A881" s="6">
        <v>2025.0</v>
      </c>
      <c r="B881" s="6" t="s">
        <v>178</v>
      </c>
      <c r="C881" s="1" t="s">
        <v>205</v>
      </c>
      <c r="F881" s="6" t="s">
        <v>213</v>
      </c>
      <c r="H881" s="6" t="s">
        <v>387</v>
      </c>
      <c r="J881" s="3">
        <v>1920.0</v>
      </c>
      <c r="M881" s="6">
        <v>2100.0</v>
      </c>
      <c r="O881" s="7">
        <f t="shared" si="78"/>
        <v>4032</v>
      </c>
      <c r="R881" s="3"/>
    </row>
    <row r="882">
      <c r="A882" s="6">
        <v>2025.0</v>
      </c>
      <c r="B882" s="6" t="s">
        <v>178</v>
      </c>
      <c r="C882" s="1" t="s">
        <v>205</v>
      </c>
      <c r="F882" s="6" t="s">
        <v>213</v>
      </c>
      <c r="H882" s="6" t="s">
        <v>461</v>
      </c>
      <c r="J882" s="3">
        <v>820.0</v>
      </c>
      <c r="M882" s="6">
        <v>3780.0</v>
      </c>
      <c r="O882" s="7">
        <f t="shared" si="78"/>
        <v>3099.6</v>
      </c>
      <c r="R882" s="3"/>
    </row>
    <row r="883">
      <c r="A883" s="6">
        <v>2025.0</v>
      </c>
      <c r="B883" s="6" t="s">
        <v>178</v>
      </c>
      <c r="C883" s="1" t="s">
        <v>205</v>
      </c>
      <c r="F883" s="6" t="s">
        <v>213</v>
      </c>
      <c r="H883" s="6" t="s">
        <v>442</v>
      </c>
      <c r="J883" s="3">
        <v>730.0</v>
      </c>
      <c r="M883" s="6">
        <v>3980.0</v>
      </c>
      <c r="O883" s="7">
        <f t="shared" si="78"/>
        <v>2905.4</v>
      </c>
      <c r="R883" s="3"/>
    </row>
    <row r="884">
      <c r="A884" s="6">
        <v>2025.0</v>
      </c>
      <c r="B884" s="6" t="s">
        <v>178</v>
      </c>
      <c r="C884" s="1" t="s">
        <v>205</v>
      </c>
      <c r="F884" s="6" t="s">
        <v>213</v>
      </c>
      <c r="H884" s="6" t="s">
        <v>467</v>
      </c>
      <c r="J884" s="3">
        <v>480.0</v>
      </c>
      <c r="M884" s="6">
        <v>2500.0</v>
      </c>
      <c r="O884" s="7">
        <f t="shared" si="78"/>
        <v>1200</v>
      </c>
      <c r="R884" s="3"/>
    </row>
    <row r="885">
      <c r="A885" s="6">
        <v>2025.0</v>
      </c>
      <c r="B885" s="6" t="s">
        <v>178</v>
      </c>
      <c r="C885" s="1" t="s">
        <v>205</v>
      </c>
      <c r="F885" s="6" t="s">
        <v>213</v>
      </c>
      <c r="H885" s="6" t="s">
        <v>435</v>
      </c>
      <c r="J885" s="3">
        <v>280.0</v>
      </c>
      <c r="M885" s="6">
        <v>4980.0</v>
      </c>
      <c r="O885" s="7">
        <f t="shared" si="78"/>
        <v>1394.4</v>
      </c>
      <c r="R885" s="3"/>
    </row>
    <row r="886">
      <c r="A886" s="6">
        <v>2025.0</v>
      </c>
      <c r="B886" s="6" t="s">
        <v>178</v>
      </c>
      <c r="C886" s="1" t="s">
        <v>205</v>
      </c>
      <c r="F886" s="6" t="s">
        <v>213</v>
      </c>
      <c r="H886" s="6" t="s">
        <v>382</v>
      </c>
      <c r="J886" s="3">
        <v>1280.0</v>
      </c>
      <c r="M886" s="6">
        <v>7780.0</v>
      </c>
      <c r="O886" s="7">
        <f t="shared" si="78"/>
        <v>9958.4</v>
      </c>
      <c r="R886" s="3"/>
    </row>
    <row r="887">
      <c r="A887" s="6">
        <v>2025.0</v>
      </c>
      <c r="B887" s="6" t="s">
        <v>178</v>
      </c>
      <c r="C887" s="1" t="s">
        <v>205</v>
      </c>
      <c r="F887" s="6" t="s">
        <v>213</v>
      </c>
      <c r="H887" s="6" t="s">
        <v>465</v>
      </c>
      <c r="J887" s="3">
        <v>580.0</v>
      </c>
      <c r="M887" s="6">
        <v>2580.0</v>
      </c>
      <c r="O887" s="7">
        <f t="shared" si="78"/>
        <v>1496.4</v>
      </c>
      <c r="R887" s="3"/>
    </row>
    <row r="888">
      <c r="A888" s="6">
        <v>2025.0</v>
      </c>
      <c r="B888" s="6" t="s">
        <v>178</v>
      </c>
      <c r="C888" s="1" t="s">
        <v>205</v>
      </c>
      <c r="F888" s="6" t="s">
        <v>213</v>
      </c>
      <c r="H888" s="6" t="s">
        <v>379</v>
      </c>
      <c r="J888" s="3">
        <v>1680.0</v>
      </c>
      <c r="M888" s="6">
        <v>2780.0</v>
      </c>
      <c r="O888" s="7">
        <f t="shared" si="78"/>
        <v>4670.4</v>
      </c>
      <c r="R888" s="3"/>
    </row>
    <row r="889">
      <c r="A889" s="6">
        <v>2025.0</v>
      </c>
      <c r="B889" s="6" t="s">
        <v>178</v>
      </c>
      <c r="C889" s="1" t="s">
        <v>205</v>
      </c>
      <c r="F889" s="6" t="s">
        <v>213</v>
      </c>
      <c r="H889" s="6" t="s">
        <v>466</v>
      </c>
      <c r="J889" s="3">
        <v>680.0</v>
      </c>
      <c r="M889" s="6">
        <v>3380.0</v>
      </c>
      <c r="O889" s="7">
        <f t="shared" si="78"/>
        <v>2298.4</v>
      </c>
      <c r="R889" s="3"/>
    </row>
    <row r="890">
      <c r="A890" s="6">
        <v>2025.0</v>
      </c>
      <c r="B890" s="6" t="s">
        <v>178</v>
      </c>
      <c r="C890" s="1" t="s">
        <v>205</v>
      </c>
      <c r="F890" s="6" t="s">
        <v>213</v>
      </c>
      <c r="H890" s="6" t="s">
        <v>448</v>
      </c>
      <c r="J890" s="3">
        <v>460.0</v>
      </c>
      <c r="M890" s="6">
        <v>4400.0</v>
      </c>
      <c r="O890" s="7">
        <f t="shared" si="78"/>
        <v>2024</v>
      </c>
      <c r="R890" s="3"/>
    </row>
    <row r="891">
      <c r="A891" s="6">
        <v>2025.0</v>
      </c>
      <c r="B891" s="6" t="s">
        <v>178</v>
      </c>
      <c r="C891" s="1" t="s">
        <v>205</v>
      </c>
      <c r="F891" s="6" t="s">
        <v>213</v>
      </c>
      <c r="H891" s="6" t="s">
        <v>380</v>
      </c>
      <c r="J891" s="3">
        <v>490.0</v>
      </c>
      <c r="M891" s="6">
        <v>3180.0</v>
      </c>
      <c r="O891" s="7">
        <f t="shared" si="78"/>
        <v>1558.2</v>
      </c>
      <c r="R891" s="3"/>
    </row>
    <row r="892">
      <c r="A892" s="6">
        <v>2025.0</v>
      </c>
      <c r="B892" s="6" t="s">
        <v>178</v>
      </c>
      <c r="C892" s="1" t="s">
        <v>205</v>
      </c>
      <c r="F892" s="6" t="s">
        <v>213</v>
      </c>
      <c r="H892" s="6" t="s">
        <v>450</v>
      </c>
      <c r="L892" s="6">
        <v>1.0</v>
      </c>
      <c r="M892" s="6">
        <v>22990.0</v>
      </c>
      <c r="O892" s="7">
        <f>M892*L892</f>
        <v>22990</v>
      </c>
    </row>
    <row r="893">
      <c r="A893" s="6">
        <v>2025.0</v>
      </c>
      <c r="B893" s="6" t="s">
        <v>178</v>
      </c>
      <c r="C893" s="1" t="s">
        <v>205</v>
      </c>
      <c r="F893" s="6" t="s">
        <v>213</v>
      </c>
      <c r="H893" s="6" t="s">
        <v>468</v>
      </c>
      <c r="J893" s="3">
        <v>510.0</v>
      </c>
      <c r="M893" s="6">
        <v>17980.0</v>
      </c>
      <c r="O893" s="7">
        <f>M893*J893/1000</f>
        <v>9169.8</v>
      </c>
      <c r="R893" s="3"/>
    </row>
    <row r="894">
      <c r="A894" s="6">
        <v>2025.0</v>
      </c>
      <c r="B894" s="6" t="s">
        <v>178</v>
      </c>
      <c r="C894" s="1" t="s">
        <v>205</v>
      </c>
      <c r="F894" s="6" t="s">
        <v>213</v>
      </c>
      <c r="H894" s="6" t="s">
        <v>469</v>
      </c>
      <c r="L894" s="6">
        <v>1.0</v>
      </c>
      <c r="M894" s="6">
        <v>9200.0</v>
      </c>
      <c r="O894" s="7">
        <f t="shared" ref="O894:O908" si="79">M894*L894</f>
        <v>9200</v>
      </c>
    </row>
    <row r="895">
      <c r="A895" s="6">
        <v>2025.0</v>
      </c>
      <c r="B895" s="6" t="s">
        <v>178</v>
      </c>
      <c r="C895" s="1" t="s">
        <v>205</v>
      </c>
      <c r="F895" s="6" t="s">
        <v>213</v>
      </c>
      <c r="H895" s="6" t="s">
        <v>427</v>
      </c>
      <c r="L895" s="6">
        <v>1.0</v>
      </c>
      <c r="M895" s="6">
        <v>7150.0</v>
      </c>
      <c r="O895" s="7">
        <f t="shared" si="79"/>
        <v>7150</v>
      </c>
    </row>
    <row r="896">
      <c r="A896" s="6">
        <v>2025.0</v>
      </c>
      <c r="B896" s="6" t="s">
        <v>178</v>
      </c>
      <c r="C896" s="1" t="s">
        <v>205</v>
      </c>
      <c r="F896" s="6" t="s">
        <v>213</v>
      </c>
      <c r="H896" s="6" t="s">
        <v>425</v>
      </c>
      <c r="L896" s="6">
        <v>1.0</v>
      </c>
      <c r="M896" s="6">
        <v>1990.0</v>
      </c>
      <c r="O896" s="7">
        <f t="shared" si="79"/>
        <v>1990</v>
      </c>
    </row>
    <row r="897">
      <c r="A897" s="6">
        <v>2025.0</v>
      </c>
      <c r="B897" s="6" t="s">
        <v>178</v>
      </c>
      <c r="C897" s="1" t="s">
        <v>205</v>
      </c>
      <c r="F897" s="6" t="s">
        <v>213</v>
      </c>
      <c r="H897" s="6" t="s">
        <v>470</v>
      </c>
      <c r="L897" s="6">
        <v>1.0</v>
      </c>
      <c r="M897" s="6">
        <v>2950.0</v>
      </c>
      <c r="O897" s="7">
        <f t="shared" si="79"/>
        <v>2950</v>
      </c>
    </row>
    <row r="898">
      <c r="A898" s="6">
        <v>2025.0</v>
      </c>
      <c r="B898" s="6" t="s">
        <v>178</v>
      </c>
      <c r="C898" s="1" t="s">
        <v>205</v>
      </c>
      <c r="F898" s="6" t="s">
        <v>213</v>
      </c>
      <c r="H898" s="6" t="s">
        <v>471</v>
      </c>
      <c r="L898" s="6">
        <v>1.0</v>
      </c>
      <c r="M898" s="6">
        <v>5450.0</v>
      </c>
      <c r="O898" s="7">
        <f t="shared" si="79"/>
        <v>5450</v>
      </c>
    </row>
    <row r="899">
      <c r="A899" s="6">
        <v>2025.0</v>
      </c>
      <c r="B899" s="6" t="s">
        <v>178</v>
      </c>
      <c r="C899" s="1" t="s">
        <v>205</v>
      </c>
      <c r="F899" s="6" t="s">
        <v>213</v>
      </c>
      <c r="H899" s="6" t="s">
        <v>471</v>
      </c>
      <c r="L899" s="6">
        <v>1.0</v>
      </c>
      <c r="M899" s="6">
        <v>5450.0</v>
      </c>
      <c r="O899" s="7">
        <f t="shared" si="79"/>
        <v>5450</v>
      </c>
    </row>
    <row r="900">
      <c r="A900" s="6">
        <v>2025.0</v>
      </c>
      <c r="B900" s="6" t="s">
        <v>178</v>
      </c>
      <c r="C900" s="1" t="s">
        <v>205</v>
      </c>
      <c r="F900" s="6" t="s">
        <v>213</v>
      </c>
      <c r="H900" s="6" t="s">
        <v>471</v>
      </c>
      <c r="L900" s="6">
        <v>1.0</v>
      </c>
      <c r="M900" s="6">
        <v>5450.0</v>
      </c>
      <c r="O900" s="7">
        <f t="shared" si="79"/>
        <v>5450</v>
      </c>
    </row>
    <row r="901">
      <c r="A901" s="6">
        <v>2025.0</v>
      </c>
      <c r="B901" s="6" t="s">
        <v>178</v>
      </c>
      <c r="C901" s="1" t="s">
        <v>205</v>
      </c>
      <c r="F901" s="6" t="s">
        <v>213</v>
      </c>
      <c r="H901" s="6" t="s">
        <v>392</v>
      </c>
      <c r="L901" s="6">
        <v>1.0</v>
      </c>
      <c r="M901" s="6">
        <v>1500.0</v>
      </c>
      <c r="O901" s="7">
        <f t="shared" si="79"/>
        <v>1500</v>
      </c>
    </row>
    <row r="902">
      <c r="A902" s="6">
        <v>2025.0</v>
      </c>
      <c r="B902" s="6" t="s">
        <v>178</v>
      </c>
      <c r="C902" s="1" t="s">
        <v>205</v>
      </c>
      <c r="F902" s="6" t="s">
        <v>213</v>
      </c>
      <c r="H902" s="6" t="s">
        <v>392</v>
      </c>
      <c r="L902" s="6">
        <v>1.0</v>
      </c>
      <c r="M902" s="6">
        <v>1500.0</v>
      </c>
      <c r="O902" s="7">
        <f t="shared" si="79"/>
        <v>1500</v>
      </c>
    </row>
    <row r="903">
      <c r="A903" s="6">
        <v>2025.0</v>
      </c>
      <c r="B903" s="6" t="s">
        <v>178</v>
      </c>
      <c r="C903" s="1" t="s">
        <v>205</v>
      </c>
      <c r="F903" s="6" t="s">
        <v>213</v>
      </c>
      <c r="H903" s="6" t="s">
        <v>410</v>
      </c>
      <c r="L903" s="6">
        <v>1.0</v>
      </c>
      <c r="M903" s="6">
        <v>2500.0</v>
      </c>
      <c r="O903" s="7">
        <f t="shared" si="79"/>
        <v>2500</v>
      </c>
    </row>
    <row r="904">
      <c r="A904" s="6">
        <v>2025.0</v>
      </c>
      <c r="B904" s="6" t="s">
        <v>178</v>
      </c>
      <c r="C904" s="1" t="s">
        <v>205</v>
      </c>
      <c r="F904" s="6" t="s">
        <v>213</v>
      </c>
      <c r="H904" s="6" t="s">
        <v>396</v>
      </c>
      <c r="L904" s="6">
        <v>1.0</v>
      </c>
      <c r="M904" s="6">
        <v>3990.0</v>
      </c>
      <c r="O904" s="7">
        <f t="shared" si="79"/>
        <v>3990</v>
      </c>
    </row>
    <row r="905">
      <c r="A905" s="6">
        <v>2025.0</v>
      </c>
      <c r="B905" s="6" t="s">
        <v>178</v>
      </c>
      <c r="C905" s="1" t="s">
        <v>205</v>
      </c>
      <c r="F905" s="6" t="s">
        <v>213</v>
      </c>
      <c r="H905" s="6" t="s">
        <v>472</v>
      </c>
      <c r="L905" s="6">
        <v>1.0</v>
      </c>
      <c r="M905" s="6">
        <v>3150.0</v>
      </c>
      <c r="O905" s="7">
        <f t="shared" si="79"/>
        <v>3150</v>
      </c>
    </row>
    <row r="906">
      <c r="A906" s="6">
        <v>2025.0</v>
      </c>
      <c r="B906" s="6" t="s">
        <v>178</v>
      </c>
      <c r="C906" s="1" t="s">
        <v>205</v>
      </c>
      <c r="F906" s="6" t="s">
        <v>213</v>
      </c>
      <c r="H906" s="6" t="s">
        <v>472</v>
      </c>
      <c r="L906" s="6">
        <v>1.0</v>
      </c>
      <c r="M906" s="6">
        <v>3150.0</v>
      </c>
      <c r="O906" s="7">
        <f t="shared" si="79"/>
        <v>3150</v>
      </c>
    </row>
    <row r="907">
      <c r="A907" s="6">
        <v>2025.0</v>
      </c>
      <c r="B907" s="6" t="s">
        <v>178</v>
      </c>
      <c r="C907" s="1" t="s">
        <v>205</v>
      </c>
      <c r="F907" s="6" t="s">
        <v>213</v>
      </c>
      <c r="H907" s="6" t="s">
        <v>473</v>
      </c>
      <c r="L907" s="6">
        <v>1.0</v>
      </c>
      <c r="M907" s="6">
        <v>8900.0</v>
      </c>
      <c r="O907" s="7">
        <f t="shared" si="79"/>
        <v>8900</v>
      </c>
    </row>
    <row r="908">
      <c r="A908" s="6">
        <v>2025.0</v>
      </c>
      <c r="B908" s="6" t="s">
        <v>178</v>
      </c>
      <c r="C908" s="1" t="s">
        <v>205</v>
      </c>
      <c r="F908" s="6" t="s">
        <v>213</v>
      </c>
      <c r="H908" s="6" t="s">
        <v>473</v>
      </c>
      <c r="L908" s="6">
        <v>1.0</v>
      </c>
      <c r="M908" s="6">
        <v>8900.0</v>
      </c>
      <c r="O908" s="7">
        <f t="shared" si="79"/>
        <v>8900</v>
      </c>
    </row>
    <row r="909">
      <c r="A909" s="24" t="s">
        <v>204</v>
      </c>
      <c r="B909" s="24"/>
      <c r="C909" s="24"/>
      <c r="D909" s="24"/>
      <c r="E909" s="24"/>
      <c r="F909" s="25"/>
      <c r="G909" s="25"/>
      <c r="H909" s="25"/>
      <c r="I909" s="25"/>
      <c r="J909" s="25"/>
      <c r="K909" s="25"/>
      <c r="L909" s="25"/>
      <c r="M909" s="25"/>
      <c r="N909" s="28" t="str">
        <f>CHANGE(O856,O909)</f>
        <v>#NAME?</v>
      </c>
      <c r="O909" s="26">
        <f>SUM(O868:O908)</f>
        <v>378708.3</v>
      </c>
    </row>
    <row r="910">
      <c r="A910" s="6">
        <v>2025.0</v>
      </c>
      <c r="B910" s="6" t="s">
        <v>178</v>
      </c>
      <c r="C910" s="1" t="s">
        <v>284</v>
      </c>
      <c r="F910" s="6" t="s">
        <v>213</v>
      </c>
      <c r="H910" s="6" t="s">
        <v>474</v>
      </c>
      <c r="L910" s="6">
        <v>1.0</v>
      </c>
      <c r="M910" s="6">
        <v>25990.0</v>
      </c>
      <c r="O910" s="7">
        <f t="shared" ref="O910:O914" si="80">M910*L910</f>
        <v>25990</v>
      </c>
    </row>
    <row r="911">
      <c r="A911" s="6">
        <v>2025.0</v>
      </c>
      <c r="B911" s="6" t="s">
        <v>178</v>
      </c>
      <c r="C911" s="1" t="s">
        <v>284</v>
      </c>
      <c r="F911" s="6" t="s">
        <v>213</v>
      </c>
      <c r="H911" s="6" t="s">
        <v>411</v>
      </c>
      <c r="L911" s="6">
        <v>1.0</v>
      </c>
      <c r="M911" s="6">
        <v>2680.0</v>
      </c>
      <c r="O911" s="7">
        <f t="shared" si="80"/>
        <v>2680</v>
      </c>
    </row>
    <row r="912">
      <c r="A912" s="6">
        <v>2025.0</v>
      </c>
      <c r="B912" s="6" t="s">
        <v>178</v>
      </c>
      <c r="C912" s="1" t="s">
        <v>284</v>
      </c>
      <c r="F912" s="6" t="s">
        <v>213</v>
      </c>
      <c r="H912" s="6" t="s">
        <v>396</v>
      </c>
      <c r="L912" s="6">
        <v>1.0</v>
      </c>
      <c r="M912" s="6">
        <v>3990.0</v>
      </c>
      <c r="O912" s="7">
        <f t="shared" si="80"/>
        <v>3990</v>
      </c>
    </row>
    <row r="913">
      <c r="A913" s="6">
        <v>2025.0</v>
      </c>
      <c r="B913" s="6" t="s">
        <v>178</v>
      </c>
      <c r="C913" s="1" t="s">
        <v>284</v>
      </c>
      <c r="F913" s="6" t="s">
        <v>213</v>
      </c>
      <c r="H913" s="6" t="s">
        <v>475</v>
      </c>
      <c r="L913" s="6">
        <v>1.0</v>
      </c>
      <c r="M913" s="6">
        <v>8990.0</v>
      </c>
      <c r="O913" s="7">
        <f t="shared" si="80"/>
        <v>8990</v>
      </c>
    </row>
    <row r="914">
      <c r="A914" s="6">
        <v>2025.0</v>
      </c>
      <c r="B914" s="6" t="s">
        <v>178</v>
      </c>
      <c r="C914" s="1" t="s">
        <v>284</v>
      </c>
      <c r="F914" s="6" t="s">
        <v>213</v>
      </c>
      <c r="H914" s="6" t="s">
        <v>476</v>
      </c>
      <c r="L914" s="6">
        <v>1.0</v>
      </c>
      <c r="M914" s="6">
        <v>22750.0</v>
      </c>
      <c r="O914" s="7">
        <f t="shared" si="80"/>
        <v>22750</v>
      </c>
    </row>
    <row r="915">
      <c r="A915" s="6">
        <v>2025.0</v>
      </c>
      <c r="B915" s="6" t="s">
        <v>178</v>
      </c>
      <c r="C915" s="1" t="s">
        <v>284</v>
      </c>
      <c r="F915" s="6" t="s">
        <v>213</v>
      </c>
      <c r="H915" s="6" t="s">
        <v>477</v>
      </c>
      <c r="J915" s="3">
        <v>964.0</v>
      </c>
      <c r="M915" s="6">
        <v>2380.0</v>
      </c>
      <c r="O915" s="7">
        <f t="shared" ref="O915:O916" si="81">M915*J915/1000</f>
        <v>2294.32</v>
      </c>
      <c r="R915" s="3"/>
    </row>
    <row r="916">
      <c r="A916" s="6">
        <v>2025.0</v>
      </c>
      <c r="B916" s="6" t="s">
        <v>178</v>
      </c>
      <c r="C916" s="1" t="s">
        <v>284</v>
      </c>
      <c r="F916" s="6" t="s">
        <v>213</v>
      </c>
      <c r="H916" s="6" t="s">
        <v>477</v>
      </c>
      <c r="J916" s="3">
        <v>2984.0</v>
      </c>
      <c r="M916" s="6">
        <v>2380.0</v>
      </c>
      <c r="O916" s="7">
        <f t="shared" si="81"/>
        <v>7101.92</v>
      </c>
      <c r="R916" s="3"/>
    </row>
    <row r="917">
      <c r="A917" s="6">
        <v>2025.0</v>
      </c>
      <c r="B917" s="6" t="s">
        <v>178</v>
      </c>
      <c r="C917" s="1" t="s">
        <v>284</v>
      </c>
      <c r="F917" s="6" t="s">
        <v>213</v>
      </c>
      <c r="H917" s="6" t="s">
        <v>478</v>
      </c>
      <c r="L917" s="6">
        <v>1.0</v>
      </c>
      <c r="M917" s="6">
        <v>5990.0</v>
      </c>
      <c r="O917" s="7">
        <f t="shared" ref="O917:O918" si="82">M917*L917</f>
        <v>5990</v>
      </c>
    </row>
    <row r="918">
      <c r="A918" s="6">
        <v>2025.0</v>
      </c>
      <c r="B918" s="6" t="s">
        <v>178</v>
      </c>
      <c r="C918" s="1" t="s">
        <v>284</v>
      </c>
      <c r="F918" s="6" t="s">
        <v>213</v>
      </c>
      <c r="H918" s="6" t="s">
        <v>478</v>
      </c>
      <c r="L918" s="6">
        <v>1.0</v>
      </c>
      <c r="M918" s="6">
        <v>5990.0</v>
      </c>
      <c r="O918" s="7">
        <f t="shared" si="82"/>
        <v>5990</v>
      </c>
    </row>
    <row r="919">
      <c r="A919" s="6">
        <v>2025.0</v>
      </c>
      <c r="B919" s="6" t="s">
        <v>178</v>
      </c>
      <c r="C919" s="1" t="s">
        <v>284</v>
      </c>
      <c r="F919" s="6" t="s">
        <v>213</v>
      </c>
      <c r="H919" s="6" t="s">
        <v>479</v>
      </c>
      <c r="J919" s="3">
        <v>1206.0</v>
      </c>
      <c r="M919" s="6">
        <v>2580.0</v>
      </c>
      <c r="O919" s="7">
        <f t="shared" ref="O919:O936" si="83">M919*J919/1000</f>
        <v>3111.48</v>
      </c>
      <c r="R919" s="3"/>
    </row>
    <row r="920">
      <c r="A920" s="6">
        <v>2025.0</v>
      </c>
      <c r="B920" s="6" t="s">
        <v>178</v>
      </c>
      <c r="C920" s="1" t="s">
        <v>284</v>
      </c>
      <c r="F920" s="6" t="s">
        <v>213</v>
      </c>
      <c r="H920" s="6" t="s">
        <v>468</v>
      </c>
      <c r="J920" s="3">
        <v>598.0</v>
      </c>
      <c r="M920" s="6">
        <v>17980.0</v>
      </c>
      <c r="O920" s="7">
        <f t="shared" si="83"/>
        <v>10752.04</v>
      </c>
      <c r="R920" s="3"/>
    </row>
    <row r="921">
      <c r="A921" s="6">
        <v>2025.0</v>
      </c>
      <c r="B921" s="6" t="s">
        <v>178</v>
      </c>
      <c r="C921" s="1" t="s">
        <v>284</v>
      </c>
      <c r="F921" s="6" t="s">
        <v>213</v>
      </c>
      <c r="H921" s="6" t="s">
        <v>448</v>
      </c>
      <c r="J921" s="3">
        <v>486.0</v>
      </c>
      <c r="M921" s="6">
        <v>2100.0</v>
      </c>
      <c r="O921" s="7">
        <f t="shared" si="83"/>
        <v>1020.6</v>
      </c>
      <c r="R921" s="3"/>
    </row>
    <row r="922">
      <c r="A922" s="6">
        <v>2025.0</v>
      </c>
      <c r="B922" s="6" t="s">
        <v>178</v>
      </c>
      <c r="C922" s="1" t="s">
        <v>284</v>
      </c>
      <c r="F922" s="6" t="s">
        <v>213</v>
      </c>
      <c r="H922" s="6" t="s">
        <v>388</v>
      </c>
      <c r="J922" s="3">
        <v>866.0</v>
      </c>
      <c r="M922" s="6">
        <v>1980.0</v>
      </c>
      <c r="O922" s="7">
        <f t="shared" si="83"/>
        <v>1714.68</v>
      </c>
      <c r="R922" s="3"/>
    </row>
    <row r="923">
      <c r="A923" s="6">
        <v>2025.0</v>
      </c>
      <c r="B923" s="6" t="s">
        <v>178</v>
      </c>
      <c r="C923" s="1" t="s">
        <v>284</v>
      </c>
      <c r="F923" s="6" t="s">
        <v>213</v>
      </c>
      <c r="H923" s="6" t="s">
        <v>388</v>
      </c>
      <c r="J923" s="3">
        <v>518.0</v>
      </c>
      <c r="M923" s="6">
        <v>1980.0</v>
      </c>
      <c r="O923" s="7">
        <f t="shared" si="83"/>
        <v>1025.64</v>
      </c>
      <c r="R923" s="3"/>
    </row>
    <row r="924">
      <c r="A924" s="6">
        <v>2025.0</v>
      </c>
      <c r="B924" s="6" t="s">
        <v>178</v>
      </c>
      <c r="C924" s="1" t="s">
        <v>284</v>
      </c>
      <c r="F924" s="6" t="s">
        <v>213</v>
      </c>
      <c r="H924" s="6" t="s">
        <v>379</v>
      </c>
      <c r="J924" s="3">
        <v>1674.0</v>
      </c>
      <c r="M924" s="6">
        <v>2580.0</v>
      </c>
      <c r="O924" s="7">
        <f t="shared" si="83"/>
        <v>4318.92</v>
      </c>
      <c r="R924" s="3"/>
    </row>
    <row r="925">
      <c r="A925" s="6">
        <v>2025.0</v>
      </c>
      <c r="B925" s="6" t="s">
        <v>178</v>
      </c>
      <c r="C925" s="1" t="s">
        <v>284</v>
      </c>
      <c r="F925" s="6" t="s">
        <v>213</v>
      </c>
      <c r="H925" s="6" t="s">
        <v>400</v>
      </c>
      <c r="J925" s="3">
        <v>2410.0</v>
      </c>
      <c r="M925" s="6">
        <v>7980.0</v>
      </c>
      <c r="O925" s="7">
        <f t="shared" si="83"/>
        <v>19231.8</v>
      </c>
      <c r="R925" s="3"/>
    </row>
    <row r="926">
      <c r="A926" s="6">
        <v>2025.0</v>
      </c>
      <c r="B926" s="6" t="s">
        <v>178</v>
      </c>
      <c r="C926" s="1" t="s">
        <v>284</v>
      </c>
      <c r="F926" s="6" t="s">
        <v>213</v>
      </c>
      <c r="H926" s="6" t="s">
        <v>400</v>
      </c>
      <c r="J926" s="3">
        <v>2560.0</v>
      </c>
      <c r="M926" s="6">
        <v>7980.0</v>
      </c>
      <c r="O926" s="7">
        <f t="shared" si="83"/>
        <v>20428.8</v>
      </c>
      <c r="R926" s="3"/>
    </row>
    <row r="927">
      <c r="A927" s="6">
        <v>2025.0</v>
      </c>
      <c r="B927" s="6" t="s">
        <v>178</v>
      </c>
      <c r="C927" s="1" t="s">
        <v>284</v>
      </c>
      <c r="F927" s="6" t="s">
        <v>213</v>
      </c>
      <c r="H927" s="6" t="s">
        <v>419</v>
      </c>
      <c r="J927" s="3">
        <v>760.0</v>
      </c>
      <c r="M927" s="6">
        <v>17980.0</v>
      </c>
      <c r="O927" s="7">
        <f t="shared" si="83"/>
        <v>13664.8</v>
      </c>
      <c r="R927" s="3"/>
    </row>
    <row r="928">
      <c r="A928" s="6">
        <v>2025.0</v>
      </c>
      <c r="B928" s="6" t="s">
        <v>178</v>
      </c>
      <c r="C928" s="1" t="s">
        <v>284</v>
      </c>
      <c r="F928" s="6" t="s">
        <v>213</v>
      </c>
      <c r="H928" s="6" t="s">
        <v>414</v>
      </c>
      <c r="J928" s="3">
        <v>950.0</v>
      </c>
      <c r="M928" s="6">
        <v>26980.0</v>
      </c>
      <c r="O928" s="7">
        <f t="shared" si="83"/>
        <v>25631</v>
      </c>
      <c r="R928" s="3"/>
    </row>
    <row r="929">
      <c r="A929" s="6">
        <v>2025.0</v>
      </c>
      <c r="B929" s="6" t="s">
        <v>178</v>
      </c>
      <c r="C929" s="1" t="s">
        <v>284</v>
      </c>
      <c r="F929" s="6" t="s">
        <v>213</v>
      </c>
      <c r="H929" s="6" t="s">
        <v>429</v>
      </c>
      <c r="J929" s="3">
        <v>1050.0</v>
      </c>
      <c r="M929" s="6">
        <v>17580.0</v>
      </c>
      <c r="O929" s="7">
        <f t="shared" si="83"/>
        <v>18459</v>
      </c>
      <c r="R929" s="3"/>
    </row>
    <row r="930">
      <c r="A930" s="6">
        <v>2025.0</v>
      </c>
      <c r="B930" s="6" t="s">
        <v>178</v>
      </c>
      <c r="C930" s="1" t="s">
        <v>284</v>
      </c>
      <c r="F930" s="6" t="s">
        <v>213</v>
      </c>
      <c r="H930" s="6" t="s">
        <v>438</v>
      </c>
      <c r="J930" s="3">
        <v>1270.0</v>
      </c>
      <c r="M930" s="6">
        <v>34980.0</v>
      </c>
      <c r="O930" s="7">
        <f t="shared" si="83"/>
        <v>44424.6</v>
      </c>
      <c r="R930" s="3"/>
    </row>
    <row r="931">
      <c r="A931" s="6">
        <v>2025.0</v>
      </c>
      <c r="B931" s="6" t="s">
        <v>178</v>
      </c>
      <c r="C931" s="1" t="s">
        <v>284</v>
      </c>
      <c r="F931" s="6" t="s">
        <v>213</v>
      </c>
      <c r="H931" s="6" t="s">
        <v>403</v>
      </c>
      <c r="J931" s="3">
        <v>530.0</v>
      </c>
      <c r="M931" s="6">
        <v>18980.0</v>
      </c>
      <c r="O931" s="7">
        <f t="shared" si="83"/>
        <v>10059.4</v>
      </c>
      <c r="R931" s="3"/>
    </row>
    <row r="932">
      <c r="A932" s="6">
        <v>2025.0</v>
      </c>
      <c r="B932" s="6" t="s">
        <v>178</v>
      </c>
      <c r="C932" s="1" t="s">
        <v>284</v>
      </c>
      <c r="F932" s="6" t="s">
        <v>213</v>
      </c>
      <c r="H932" s="6" t="s">
        <v>386</v>
      </c>
      <c r="J932" s="3">
        <v>894.0</v>
      </c>
      <c r="M932" s="6">
        <v>3980.0</v>
      </c>
      <c r="O932" s="7">
        <f t="shared" si="83"/>
        <v>3558.12</v>
      </c>
      <c r="R932" s="3"/>
    </row>
    <row r="933">
      <c r="A933" s="6">
        <v>2025.0</v>
      </c>
      <c r="B933" s="6" t="s">
        <v>178</v>
      </c>
      <c r="C933" s="1" t="s">
        <v>284</v>
      </c>
      <c r="F933" s="6" t="s">
        <v>213</v>
      </c>
      <c r="H933" s="6" t="s">
        <v>386</v>
      </c>
      <c r="J933" s="3">
        <v>2820.0</v>
      </c>
      <c r="M933" s="6">
        <v>3980.0</v>
      </c>
      <c r="O933" s="7">
        <f t="shared" si="83"/>
        <v>11223.6</v>
      </c>
      <c r="R933" s="3"/>
    </row>
    <row r="934">
      <c r="A934" s="6">
        <v>2025.0</v>
      </c>
      <c r="B934" s="6" t="s">
        <v>178</v>
      </c>
      <c r="C934" s="1" t="s">
        <v>284</v>
      </c>
      <c r="F934" s="6" t="s">
        <v>213</v>
      </c>
      <c r="H934" s="6" t="s">
        <v>390</v>
      </c>
      <c r="J934" s="3">
        <v>482.0</v>
      </c>
      <c r="M934" s="6">
        <v>4900.0</v>
      </c>
      <c r="O934" s="7">
        <f t="shared" si="83"/>
        <v>2361.8</v>
      </c>
      <c r="R934" s="3"/>
    </row>
    <row r="935">
      <c r="A935" s="6">
        <v>2025.0</v>
      </c>
      <c r="B935" s="6" t="s">
        <v>178</v>
      </c>
      <c r="C935" s="1" t="s">
        <v>284</v>
      </c>
      <c r="F935" s="6" t="s">
        <v>213</v>
      </c>
      <c r="H935" s="6" t="s">
        <v>442</v>
      </c>
      <c r="J935" s="3">
        <v>568.0</v>
      </c>
      <c r="M935" s="6">
        <v>3780.0</v>
      </c>
      <c r="O935" s="7">
        <f t="shared" si="83"/>
        <v>2147.04</v>
      </c>
      <c r="R935" s="3"/>
    </row>
    <row r="936">
      <c r="A936" s="6">
        <v>2025.0</v>
      </c>
      <c r="B936" s="6" t="s">
        <v>178</v>
      </c>
      <c r="C936" s="1" t="s">
        <v>284</v>
      </c>
      <c r="F936" s="6" t="s">
        <v>213</v>
      </c>
      <c r="H936" s="6" t="s">
        <v>387</v>
      </c>
      <c r="J936" s="3">
        <v>1960.0</v>
      </c>
      <c r="M936" s="6">
        <v>2580.0</v>
      </c>
      <c r="O936" s="7">
        <f t="shared" si="83"/>
        <v>5056.8</v>
      </c>
      <c r="R936" s="3"/>
    </row>
    <row r="937">
      <c r="A937" s="6">
        <v>2025.0</v>
      </c>
      <c r="B937" s="6" t="s">
        <v>178</v>
      </c>
      <c r="C937" s="1" t="s">
        <v>284</v>
      </c>
      <c r="F937" s="6" t="s">
        <v>213</v>
      </c>
      <c r="H937" s="6" t="s">
        <v>455</v>
      </c>
      <c r="L937" s="6">
        <v>1.0</v>
      </c>
      <c r="M937" s="6">
        <v>1550.0</v>
      </c>
      <c r="O937" s="7">
        <f t="shared" ref="O937:O940" si="84">M937*L937</f>
        <v>1550</v>
      </c>
    </row>
    <row r="938">
      <c r="A938" s="6">
        <v>2025.0</v>
      </c>
      <c r="B938" s="6" t="s">
        <v>178</v>
      </c>
      <c r="C938" s="1" t="s">
        <v>284</v>
      </c>
      <c r="F938" s="6" t="s">
        <v>213</v>
      </c>
      <c r="H938" s="6" t="s">
        <v>425</v>
      </c>
      <c r="L938" s="6">
        <v>1.0</v>
      </c>
      <c r="M938" s="6">
        <v>1990.0</v>
      </c>
      <c r="O938" s="7">
        <f t="shared" si="84"/>
        <v>1990</v>
      </c>
    </row>
    <row r="939">
      <c r="A939" s="6">
        <v>2025.0</v>
      </c>
      <c r="B939" s="6" t="s">
        <v>178</v>
      </c>
      <c r="C939" s="1" t="s">
        <v>284</v>
      </c>
      <c r="F939" s="6" t="s">
        <v>213</v>
      </c>
      <c r="H939" s="6" t="s">
        <v>392</v>
      </c>
      <c r="L939" s="6">
        <v>1.0</v>
      </c>
      <c r="M939" s="6">
        <v>1500.0</v>
      </c>
      <c r="O939" s="7">
        <f t="shared" si="84"/>
        <v>1500</v>
      </c>
    </row>
    <row r="940">
      <c r="A940" s="6">
        <v>2025.0</v>
      </c>
      <c r="B940" s="6" t="s">
        <v>178</v>
      </c>
      <c r="C940" s="1" t="s">
        <v>284</v>
      </c>
      <c r="F940" s="6" t="s">
        <v>213</v>
      </c>
      <c r="H940" s="6" t="s">
        <v>392</v>
      </c>
      <c r="L940" s="6">
        <v>1.0</v>
      </c>
      <c r="M940" s="6">
        <v>1500.0</v>
      </c>
      <c r="O940" s="7">
        <f t="shared" si="84"/>
        <v>1500</v>
      </c>
    </row>
    <row r="941">
      <c r="A941" s="6">
        <v>2025.0</v>
      </c>
      <c r="B941" s="6" t="s">
        <v>178</v>
      </c>
      <c r="C941" s="1" t="s">
        <v>284</v>
      </c>
      <c r="F941" s="6" t="s">
        <v>213</v>
      </c>
      <c r="H941" s="6" t="s">
        <v>390</v>
      </c>
      <c r="J941" s="3">
        <v>630.0</v>
      </c>
      <c r="M941" s="6">
        <v>4900.0</v>
      </c>
      <c r="O941" s="7">
        <f t="shared" ref="O941:O944" si="85">M941*J941/1000</f>
        <v>3087</v>
      </c>
      <c r="R941" s="3"/>
    </row>
    <row r="942">
      <c r="A942" s="6">
        <v>2025.0</v>
      </c>
      <c r="B942" s="6" t="s">
        <v>178</v>
      </c>
      <c r="C942" s="1" t="s">
        <v>284</v>
      </c>
      <c r="F942" s="6" t="s">
        <v>213</v>
      </c>
      <c r="H942" s="6" t="s">
        <v>377</v>
      </c>
      <c r="J942" s="3">
        <v>1256.0</v>
      </c>
      <c r="M942" s="6">
        <v>3580.0</v>
      </c>
      <c r="O942" s="7">
        <f t="shared" si="85"/>
        <v>4496.48</v>
      </c>
      <c r="R942" s="3"/>
    </row>
    <row r="943">
      <c r="A943" s="6">
        <v>2025.0</v>
      </c>
      <c r="B943" s="6" t="s">
        <v>178</v>
      </c>
      <c r="C943" s="1" t="s">
        <v>284</v>
      </c>
      <c r="F943" s="6" t="s">
        <v>213</v>
      </c>
      <c r="H943" s="6" t="s">
        <v>443</v>
      </c>
      <c r="J943" s="3">
        <v>308.0</v>
      </c>
      <c r="M943" s="6">
        <v>3780.0</v>
      </c>
      <c r="O943" s="7">
        <f t="shared" si="85"/>
        <v>1164.24</v>
      </c>
      <c r="R943" s="3"/>
    </row>
    <row r="944">
      <c r="A944" s="6">
        <v>2025.0</v>
      </c>
      <c r="B944" s="6" t="s">
        <v>178</v>
      </c>
      <c r="C944" s="1" t="s">
        <v>284</v>
      </c>
      <c r="F944" s="6" t="s">
        <v>213</v>
      </c>
      <c r="H944" s="6" t="s">
        <v>435</v>
      </c>
      <c r="J944" s="3">
        <v>298.0</v>
      </c>
      <c r="M944" s="6">
        <v>5500.0</v>
      </c>
      <c r="O944" s="7">
        <f t="shared" si="85"/>
        <v>1639</v>
      </c>
      <c r="R944" s="3"/>
    </row>
    <row r="945">
      <c r="A945" s="6">
        <v>2025.0</v>
      </c>
      <c r="B945" s="6" t="s">
        <v>178</v>
      </c>
      <c r="C945" s="1" t="s">
        <v>284</v>
      </c>
      <c r="F945" s="6" t="s">
        <v>213</v>
      </c>
      <c r="H945" s="6" t="s">
        <v>480</v>
      </c>
      <c r="L945" s="6">
        <v>1.0</v>
      </c>
      <c r="M945" s="6">
        <v>9900.0</v>
      </c>
      <c r="O945" s="7">
        <f t="shared" ref="O945:O946" si="86">M945*L945</f>
        <v>9900</v>
      </c>
    </row>
    <row r="946">
      <c r="A946" s="6">
        <v>2025.0</v>
      </c>
      <c r="B946" s="6" t="s">
        <v>178</v>
      </c>
      <c r="C946" s="1" t="s">
        <v>284</v>
      </c>
      <c r="F946" s="6" t="s">
        <v>213</v>
      </c>
      <c r="H946" s="6" t="s">
        <v>480</v>
      </c>
      <c r="L946" s="6">
        <v>1.0</v>
      </c>
      <c r="M946" s="6">
        <v>9900.0</v>
      </c>
      <c r="O946" s="7">
        <f t="shared" si="86"/>
        <v>9900</v>
      </c>
    </row>
    <row r="947">
      <c r="A947" s="24" t="s">
        <v>204</v>
      </c>
      <c r="B947" s="24"/>
      <c r="C947" s="24"/>
      <c r="D947" s="24"/>
      <c r="E947" s="24"/>
      <c r="F947" s="25"/>
      <c r="G947" s="25"/>
      <c r="H947" s="25"/>
      <c r="I947" s="25"/>
      <c r="J947" s="25"/>
      <c r="K947" s="25"/>
      <c r="L947" s="25"/>
      <c r="M947" s="25"/>
      <c r="N947" s="28" t="str">
        <f>CHANGE(O894,O947)</f>
        <v>#NAME?</v>
      </c>
      <c r="O947" s="26">
        <f>SUM(O910:O946)</f>
        <v>320693.08</v>
      </c>
    </row>
    <row r="948">
      <c r="C948" s="32"/>
      <c r="O948" s="13"/>
    </row>
    <row r="949">
      <c r="C949" s="32"/>
      <c r="O949" s="13"/>
    </row>
    <row r="950">
      <c r="C950" s="32"/>
      <c r="O950" s="13"/>
    </row>
  </sheetData>
  <autoFilter ref="$A$1:$U$947"/>
  <drawing r:id="rId1"/>
</worksheet>
</file>